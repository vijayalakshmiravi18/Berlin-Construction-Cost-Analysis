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vijayan\Downloads\Viji\"/>
    </mc:Choice>
  </mc:AlternateContent>
  <xr:revisionPtr revIDLastSave="0" documentId="13_ncr:1_{2D00DECC-883C-4488-912A-4599E3C59118}" xr6:coauthVersionLast="47" xr6:coauthVersionMax="47" xr10:uidLastSave="{00000000-0000-0000-0000-000000000000}"/>
  <bookViews>
    <workbookView xWindow="10" yWindow="10" windowWidth="19180" windowHeight="10060" firstSheet="2" activeTab="5" xr2:uid="{B73AA2C6-FACF-42C7-B3BE-5EF4BB038621}"/>
  </bookViews>
  <sheets>
    <sheet name="Raw Data" sheetId="1" r:id="rId1"/>
    <sheet name="2_Contractor_Rates" sheetId="2" r:id="rId2"/>
    <sheet name="3_Cleaned_Data" sheetId="3" r:id="rId3"/>
    <sheet name="4_Pivot_Analysis" sheetId="4" r:id="rId4"/>
    <sheet name="5_Budget_vs_Actual" sheetId="5" r:id="rId5"/>
    <sheet name="6_Dashboar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6" l="1"/>
  <c r="F21" i="6"/>
  <c r="F22" i="6"/>
  <c r="F23" i="6"/>
  <c r="F24" i="6"/>
  <c r="F25" i="6"/>
  <c r="F26" i="6"/>
  <c r="F27" i="6"/>
  <c r="F28" i="6"/>
  <c r="F19" i="6"/>
  <c r="E20" i="6"/>
  <c r="E21" i="6"/>
  <c r="E22" i="6"/>
  <c r="E23" i="6"/>
  <c r="E24" i="6"/>
  <c r="E25" i="6"/>
  <c r="E26" i="6"/>
  <c r="E27" i="6"/>
  <c r="E28" i="6"/>
  <c r="E19" i="6"/>
  <c r="D20" i="6"/>
  <c r="D21" i="6"/>
  <c r="D22" i="6"/>
  <c r="D23" i="6"/>
  <c r="D24" i="6"/>
  <c r="D25" i="6"/>
  <c r="D26" i="6"/>
  <c r="D27" i="6"/>
  <c r="D28" i="6"/>
  <c r="D19" i="6"/>
  <c r="C19" i="6"/>
  <c r="C20" i="6"/>
  <c r="C21" i="6"/>
  <c r="C22" i="6"/>
  <c r="C23" i="6"/>
  <c r="C24" i="6"/>
  <c r="C25" i="6"/>
  <c r="C26" i="6"/>
  <c r="C27" i="6"/>
  <c r="C28" i="6"/>
  <c r="B19" i="6"/>
  <c r="B20" i="6"/>
  <c r="B21" i="6"/>
  <c r="B22" i="6"/>
  <c r="B23" i="6"/>
  <c r="B24" i="6"/>
  <c r="B25" i="6"/>
  <c r="B26" i="6"/>
  <c r="B27" i="6"/>
  <c r="B28" i="6"/>
  <c r="E15" i="6"/>
  <c r="D15" i="6"/>
  <c r="E12" i="6"/>
  <c r="E13" i="6"/>
  <c r="E14" i="6"/>
  <c r="D12" i="6"/>
  <c r="D13" i="6"/>
  <c r="D14" i="6"/>
  <c r="C12" i="6"/>
  <c r="C15" i="6" s="1"/>
  <c r="C13" i="6"/>
  <c r="C14" i="6"/>
  <c r="B12" i="6"/>
  <c r="B13" i="6"/>
  <c r="B14" i="6"/>
  <c r="B15" i="6"/>
  <c r="F12" i="6"/>
  <c r="F13" i="6"/>
  <c r="F14" i="6"/>
  <c r="F11" i="6"/>
  <c r="E11" i="6"/>
  <c r="D11" i="6"/>
  <c r="C11" i="6"/>
  <c r="B11" i="6"/>
  <c r="K5" i="6"/>
  <c r="I5" i="6"/>
  <c r="G5" i="6"/>
  <c r="E5" i="6"/>
  <c r="C5" i="6"/>
  <c r="A5" i="6"/>
  <c r="B49" i="5"/>
  <c r="B48" i="5"/>
  <c r="B47" i="5"/>
  <c r="B46" i="5"/>
  <c r="B45" i="5"/>
  <c r="B44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G2" i="5"/>
  <c r="F2" i="5"/>
  <c r="E2" i="5"/>
  <c r="D2" i="5"/>
  <c r="C2" i="5"/>
  <c r="B2" i="5"/>
  <c r="A2" i="5"/>
  <c r="E34" i="4"/>
  <c r="D34" i="4"/>
  <c r="C34" i="4"/>
  <c r="B34" i="4"/>
  <c r="E25" i="4"/>
  <c r="E26" i="4"/>
  <c r="E27" i="4"/>
  <c r="E28" i="4"/>
  <c r="E29" i="4"/>
  <c r="E30" i="4"/>
  <c r="E31" i="4"/>
  <c r="E32" i="4"/>
  <c r="E33" i="4"/>
  <c r="E24" i="4"/>
  <c r="D25" i="4"/>
  <c r="D26" i="4"/>
  <c r="D27" i="4"/>
  <c r="D28" i="4"/>
  <c r="D29" i="4"/>
  <c r="D30" i="4"/>
  <c r="D31" i="4"/>
  <c r="D32" i="4"/>
  <c r="D33" i="4"/>
  <c r="D24" i="4"/>
  <c r="C25" i="4"/>
  <c r="C26" i="4"/>
  <c r="C27" i="4"/>
  <c r="C28" i="4"/>
  <c r="C29" i="4"/>
  <c r="C30" i="4"/>
  <c r="C31" i="4"/>
  <c r="C32" i="4"/>
  <c r="C33" i="4"/>
  <c r="C24" i="4"/>
  <c r="B25" i="4"/>
  <c r="B26" i="4"/>
  <c r="B27" i="4"/>
  <c r="B28" i="4"/>
  <c r="B29" i="4"/>
  <c r="B30" i="4"/>
  <c r="B31" i="4"/>
  <c r="B32" i="4"/>
  <c r="B33" i="4"/>
  <c r="B24" i="4"/>
  <c r="F20" i="4"/>
  <c r="F11" i="4"/>
  <c r="F12" i="4"/>
  <c r="F13" i="4"/>
  <c r="F14" i="4"/>
  <c r="F15" i="4"/>
  <c r="F16" i="4"/>
  <c r="F17" i="4"/>
  <c r="F18" i="4"/>
  <c r="F19" i="4"/>
  <c r="F10" i="4"/>
  <c r="D11" i="4"/>
  <c r="E11" i="4"/>
  <c r="D12" i="4"/>
  <c r="E12" i="4"/>
  <c r="D13" i="4"/>
  <c r="E13" i="4"/>
  <c r="D14" i="4"/>
  <c r="E14" i="4"/>
  <c r="D15" i="4"/>
  <c r="E15" i="4"/>
  <c r="D16" i="4"/>
  <c r="E16" i="4"/>
  <c r="D17" i="4"/>
  <c r="E17" i="4"/>
  <c r="D18" i="4"/>
  <c r="E18" i="4"/>
  <c r="D19" i="4"/>
  <c r="E19" i="4"/>
  <c r="E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C10" i="4"/>
  <c r="D10" i="4"/>
  <c r="B10" i="4"/>
  <c r="C3" i="4"/>
  <c r="D3" i="4" s="1"/>
  <c r="E3" i="4" s="1"/>
  <c r="F3" i="4" s="1"/>
  <c r="C4" i="4"/>
  <c r="D4" i="4" s="1"/>
  <c r="E4" i="4" s="1"/>
  <c r="F4" i="4" s="1"/>
  <c r="C5" i="4"/>
  <c r="C2" i="4"/>
  <c r="B3" i="4"/>
  <c r="B4" i="4"/>
  <c r="B5" i="4"/>
  <c r="B2" i="4"/>
  <c r="M4" i="3"/>
  <c r="M5" i="3"/>
  <c r="M6" i="3"/>
  <c r="M7" i="3"/>
  <c r="M8" i="3"/>
  <c r="M16" i="3"/>
  <c r="N16" i="3" s="1"/>
  <c r="M17" i="3"/>
  <c r="N17" i="3" s="1"/>
  <c r="M40" i="3"/>
  <c r="N40" i="3" s="1"/>
  <c r="M41" i="3"/>
  <c r="N41" i="3" s="1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2" i="3"/>
  <c r="N4" i="3"/>
  <c r="N5" i="3"/>
  <c r="L2" i="3"/>
  <c r="M2" i="3" s="1"/>
  <c r="N2" i="3" s="1"/>
  <c r="L3" i="3"/>
  <c r="M3" i="3" s="1"/>
  <c r="N3" i="3" s="1"/>
  <c r="L4" i="3"/>
  <c r="L5" i="3"/>
  <c r="L6" i="3"/>
  <c r="L7" i="3"/>
  <c r="L8" i="3"/>
  <c r="L9" i="3"/>
  <c r="M9" i="3" s="1"/>
  <c r="L10" i="3"/>
  <c r="M10" i="3" s="1"/>
  <c r="N10" i="3" s="1"/>
  <c r="L11" i="3"/>
  <c r="L12" i="3"/>
  <c r="M12" i="3" s="1"/>
  <c r="L13" i="3"/>
  <c r="M13" i="3" s="1"/>
  <c r="L14" i="3"/>
  <c r="L15" i="3"/>
  <c r="M15" i="3" s="1"/>
  <c r="N15" i="3" s="1"/>
  <c r="L16" i="3"/>
  <c r="L17" i="3"/>
  <c r="L18" i="3"/>
  <c r="M18" i="3" s="1"/>
  <c r="L19" i="3"/>
  <c r="M19" i="3" s="1"/>
  <c r="L20" i="3"/>
  <c r="M20" i="3" s="1"/>
  <c r="L21" i="3"/>
  <c r="M21" i="3" s="1"/>
  <c r="L22" i="3"/>
  <c r="M22" i="3" s="1"/>
  <c r="N22" i="3" s="1"/>
  <c r="L23" i="3"/>
  <c r="L24" i="3"/>
  <c r="L25" i="3"/>
  <c r="M25" i="3" s="1"/>
  <c r="L26" i="3"/>
  <c r="M26" i="3" s="1"/>
  <c r="L27" i="3"/>
  <c r="M27" i="3" s="1"/>
  <c r="N27" i="3" s="1"/>
  <c r="L28" i="3"/>
  <c r="M28" i="3" s="1"/>
  <c r="N28" i="3" s="1"/>
  <c r="L29" i="3"/>
  <c r="M29" i="3" s="1"/>
  <c r="N29" i="3" s="1"/>
  <c r="L30" i="3"/>
  <c r="M30" i="3" s="1"/>
  <c r="L31" i="3"/>
  <c r="M31" i="3" s="1"/>
  <c r="L32" i="3"/>
  <c r="M32" i="3" s="1"/>
  <c r="L33" i="3"/>
  <c r="M33" i="3" s="1"/>
  <c r="L34" i="3"/>
  <c r="M34" i="3" s="1"/>
  <c r="N34" i="3" s="1"/>
  <c r="L35" i="3"/>
  <c r="L36" i="3"/>
  <c r="M36" i="3" s="1"/>
  <c r="L37" i="3"/>
  <c r="M37" i="3" s="1"/>
  <c r="L38" i="3"/>
  <c r="M38" i="3" s="1"/>
  <c r="L39" i="3"/>
  <c r="M39" i="3" s="1"/>
  <c r="N39" i="3" s="1"/>
  <c r="L40" i="3"/>
  <c r="L41" i="3"/>
  <c r="B6" i="4" l="1"/>
  <c r="C6" i="4"/>
  <c r="D5" i="4"/>
  <c r="E5" i="4" s="1"/>
  <c r="F5" i="4" s="1"/>
  <c r="D2" i="4"/>
  <c r="N35" i="3"/>
  <c r="N23" i="3"/>
  <c r="N11" i="3"/>
  <c r="M14" i="3"/>
  <c r="N14" i="3" s="1"/>
  <c r="N37" i="3"/>
  <c r="N25" i="3"/>
  <c r="N13" i="3"/>
  <c r="M24" i="3"/>
  <c r="N24" i="3" s="1"/>
  <c r="N26" i="3"/>
  <c r="N12" i="3"/>
  <c r="M35" i="3"/>
  <c r="M23" i="3"/>
  <c r="M11" i="3"/>
  <c r="N38" i="3"/>
  <c r="N36" i="3"/>
  <c r="N21" i="3"/>
  <c r="N20" i="3"/>
  <c r="N31" i="3"/>
  <c r="N19" i="3"/>
  <c r="N7" i="3"/>
  <c r="N30" i="3"/>
  <c r="N18" i="3"/>
  <c r="N6" i="3"/>
  <c r="N33" i="3"/>
  <c r="N9" i="3"/>
  <c r="N32" i="3"/>
  <c r="N8" i="3"/>
  <c r="E2" i="4" l="1"/>
  <c r="F2" i="4" s="1"/>
  <c r="D6" i="4"/>
  <c r="E6" i="4" s="1"/>
  <c r="F6" i="4" s="1"/>
</calcChain>
</file>

<file path=xl/sharedStrings.xml><?xml version="1.0" encoding="utf-8"?>
<sst xmlns="http://schemas.openxmlformats.org/spreadsheetml/2006/main" count="813" uniqueCount="319">
  <si>
    <t>Project_ID</t>
  </si>
  <si>
    <t>Project_Name</t>
  </si>
  <si>
    <t>Phase</t>
  </si>
  <si>
    <t>Contractor</t>
  </si>
  <si>
    <t>Material_Cost_EUR</t>
  </si>
  <si>
    <t>Labor_Cost_EUR</t>
  </si>
  <si>
    <t>Planned_Start</t>
  </si>
  <si>
    <t>Actual_Start</t>
  </si>
  <si>
    <t>Planned_End</t>
  </si>
  <si>
    <t>Actual_End</t>
  </si>
  <si>
    <t>Budget_EUR</t>
  </si>
  <si>
    <t>Status</t>
  </si>
  <si>
    <t>Notes</t>
  </si>
  <si>
    <t>P1000</t>
  </si>
  <si>
    <t>Mitte Office Tower</t>
  </si>
  <si>
    <t>foundation</t>
  </si>
  <si>
    <t>STRABAG SE</t>
  </si>
  <si>
    <t>16.01.2023</t>
  </si>
  <si>
    <t>2023-02-01</t>
  </si>
  <si>
    <t>31/03/2023</t>
  </si>
  <si>
    <t>03/26/2023</t>
  </si>
  <si>
    <t>On Hold</t>
  </si>
  <si>
    <t>P1025</t>
  </si>
  <si>
    <t>Friedrichshain Loft</t>
  </si>
  <si>
    <t>Structure</t>
  </si>
  <si>
    <t>Max Bögl</t>
  </si>
  <si>
    <t>23.03.2023</t>
  </si>
  <si>
    <t>2023-03-28</t>
  </si>
  <si>
    <t>06/05/2023</t>
  </si>
  <si>
    <t>04/26/2023</t>
  </si>
  <si>
    <t>ON HOLD</t>
  </si>
  <si>
    <t>P1010</t>
  </si>
  <si>
    <t>Prenzlauer Berg Retail</t>
  </si>
  <si>
    <t>Finishing</t>
  </si>
  <si>
    <t>Bilfinger SE</t>
  </si>
  <si>
    <t>25.05.2023</t>
  </si>
  <si>
    <t>2023-06-12</t>
  </si>
  <si>
    <t>11/07/2023</t>
  </si>
  <si>
    <t>08/04/2023</t>
  </si>
  <si>
    <t>delayed</t>
  </si>
  <si>
    <t>P1005</t>
  </si>
  <si>
    <t>Kreuzberg Residential</t>
  </si>
  <si>
    <t>Züblin AG</t>
  </si>
  <si>
    <t>26.03.2023</t>
  </si>
  <si>
    <t>2023-04-10</t>
  </si>
  <si>
    <t>09/05/2023</t>
  </si>
  <si>
    <t>06/06/2023</t>
  </si>
  <si>
    <t>COMPLETED</t>
  </si>
  <si>
    <t>Check invoice</t>
  </si>
  <si>
    <t>P1007</t>
  </si>
  <si>
    <t>mep</t>
  </si>
  <si>
    <t>Goldbeck GmbH</t>
  </si>
  <si>
    <t>19.07.2023</t>
  </si>
  <si>
    <t>2023-07-20</t>
  </si>
  <si>
    <t>28/09/2023</t>
  </si>
  <si>
    <t>10/13/2023</t>
  </si>
  <si>
    <t>on hold</t>
  </si>
  <si>
    <t>P1014</t>
  </si>
  <si>
    <t>Charlottenburg Hotel</t>
  </si>
  <si>
    <t>18.05.2023</t>
  </si>
  <si>
    <t>2023-05-30</t>
  </si>
  <si>
    <t>09/07/2023</t>
  </si>
  <si>
    <t>07/18/2023</t>
  </si>
  <si>
    <t>Material delay</t>
  </si>
  <si>
    <t>P1003</t>
  </si>
  <si>
    <t>Mep</t>
  </si>
  <si>
    <t>Hochtief AG</t>
  </si>
  <si>
    <t>21.07.2023</t>
  </si>
  <si>
    <t>2023-08-02</t>
  </si>
  <si>
    <t>06/09/2023</t>
  </si>
  <si>
    <t>09/20/2023</t>
  </si>
  <si>
    <t>in progress</t>
  </si>
  <si>
    <t>P1021</t>
  </si>
  <si>
    <t>Spandau Logistics Hub</t>
  </si>
  <si>
    <t>Ed. Züblin</t>
  </si>
  <si>
    <t>22.03.2023</t>
  </si>
  <si>
    <t>2023-03-25</t>
  </si>
  <si>
    <t>30/05/2023</t>
  </si>
  <si>
    <t>06/07/2023</t>
  </si>
  <si>
    <t>TBC</t>
  </si>
  <si>
    <t>P1031</t>
  </si>
  <si>
    <t>Wedding School Extension</t>
  </si>
  <si>
    <t>MEP</t>
  </si>
  <si>
    <t>14.07.2023</t>
  </si>
  <si>
    <t>05/09/2023</t>
  </si>
  <si>
    <t>09/10/2023</t>
  </si>
  <si>
    <t>IN PROGRESS</t>
  </si>
  <si>
    <t>N/A</t>
  </si>
  <si>
    <t>P1038</t>
  </si>
  <si>
    <t>Lichtenberg Warehouse</t>
  </si>
  <si>
    <t>FINISHING</t>
  </si>
  <si>
    <t>Porr GmbH</t>
  </si>
  <si>
    <t>19.05.2023</t>
  </si>
  <si>
    <t>17/07/2023</t>
  </si>
  <si>
    <t>08/02/2023</t>
  </si>
  <si>
    <t>DELAYED</t>
  </si>
  <si>
    <t>Pending approval</t>
  </si>
  <si>
    <t>P1016</t>
  </si>
  <si>
    <t>Neukölln Mixed-Use</t>
  </si>
  <si>
    <t>FOUNDATION</t>
  </si>
  <si>
    <t>15.01.2023</t>
  </si>
  <si>
    <t>2023-01-20</t>
  </si>
  <si>
    <t>28/02/2023</t>
  </si>
  <si>
    <t>03/22/2023</t>
  </si>
  <si>
    <t>n/a</t>
  </si>
  <si>
    <t>P1013</t>
  </si>
  <si>
    <t>structure</t>
  </si>
  <si>
    <t>17.03.2023</t>
  </si>
  <si>
    <t>2023-03-14</t>
  </si>
  <si>
    <t>27/05/2023</t>
  </si>
  <si>
    <t>05/21/2023</t>
  </si>
  <si>
    <t>P1011</t>
  </si>
  <si>
    <t>18.07.2023</t>
  </si>
  <si>
    <t>2023-07-29</t>
  </si>
  <si>
    <t>07/09/2023</t>
  </si>
  <si>
    <t>09/29/2023</t>
  </si>
  <si>
    <t>P1002</t>
  </si>
  <si>
    <t>finishing</t>
  </si>
  <si>
    <t>Bauer GmbH</t>
  </si>
  <si>
    <t>2023-05-18</t>
  </si>
  <si>
    <t>07/22/2023</t>
  </si>
  <si>
    <t>P1036</t>
  </si>
  <si>
    <t>20.01.2023</t>
  </si>
  <si>
    <t>2023-01-28</t>
  </si>
  <si>
    <t>04/30/2023</t>
  </si>
  <si>
    <t>P1006</t>
  </si>
  <si>
    <t>23.05.2023</t>
  </si>
  <si>
    <t>2023-05-25</t>
  </si>
  <si>
    <t>22/07/2023</t>
  </si>
  <si>
    <t>07/15/2023</t>
  </si>
  <si>
    <t>completed</t>
  </si>
  <si>
    <t>P1023</t>
  </si>
  <si>
    <t>22.07.2023</t>
  </si>
  <si>
    <t>2023-07-19</t>
  </si>
  <si>
    <t>11/09/2023</t>
  </si>
  <si>
    <t>In Progress</t>
  </si>
  <si>
    <t>P1009</t>
  </si>
  <si>
    <t>STRUCTURE</t>
  </si>
  <si>
    <t>18.03.2023</t>
  </si>
  <si>
    <t>2023-04-07</t>
  </si>
  <si>
    <t>24/05/2023</t>
  </si>
  <si>
    <t>06/21/2023</t>
  </si>
  <si>
    <t>P1039</t>
  </si>
  <si>
    <t>24.07.2023</t>
  </si>
  <si>
    <t>2023-08-11</t>
  </si>
  <si>
    <t>13/09/2023</t>
  </si>
  <si>
    <t>10/12/2023</t>
  </si>
  <si>
    <t>P1035</t>
  </si>
  <si>
    <t>Steglitz Medical Centre</t>
  </si>
  <si>
    <t>2023-07-27</t>
  </si>
  <si>
    <t>01/09/2023</t>
  </si>
  <si>
    <t>08/29/2023</t>
  </si>
  <si>
    <t>P1034</t>
  </si>
  <si>
    <t>Implenia DE</t>
  </si>
  <si>
    <t>2023-05-13</t>
  </si>
  <si>
    <t>07/24/2023</t>
  </si>
  <si>
    <t>Delayed</t>
  </si>
  <si>
    <t>P1015</t>
  </si>
  <si>
    <t>15.07.2023</t>
  </si>
  <si>
    <t>25/08/2023</t>
  </si>
  <si>
    <t>09/21/2023</t>
  </si>
  <si>
    <t>Completed</t>
  </si>
  <si>
    <t>P1008</t>
  </si>
  <si>
    <t>21.01.2023</t>
  </si>
  <si>
    <t>2023-02-03</t>
  </si>
  <si>
    <t>27/03/2023</t>
  </si>
  <si>
    <t>04/09/2023</t>
  </si>
  <si>
    <t>P1001</t>
  </si>
  <si>
    <t>2023-04-12</t>
  </si>
  <si>
    <t>08/06/2023</t>
  </si>
  <si>
    <t>06/24/2023</t>
  </si>
  <si>
    <t>P1020</t>
  </si>
  <si>
    <t>2023-02-04</t>
  </si>
  <si>
    <t>12/03/2023</t>
  </si>
  <si>
    <t>03/12/2023</t>
  </si>
  <si>
    <t>P1004</t>
  </si>
  <si>
    <t>19.01.2023</t>
  </si>
  <si>
    <t>2023-01-16</t>
  </si>
  <si>
    <t>14/03/2023</t>
  </si>
  <si>
    <t>03/10/2023</t>
  </si>
  <si>
    <t>P1022</t>
  </si>
  <si>
    <t>24.05.2023</t>
  </si>
  <si>
    <t>2023-06-11</t>
  </si>
  <si>
    <t>06/08/2023</t>
  </si>
  <si>
    <t>07/30/2023</t>
  </si>
  <si>
    <t>P1030</t>
  </si>
  <si>
    <t>17.05.2023</t>
  </si>
  <si>
    <t>2023-05-29</t>
  </si>
  <si>
    <t>28/06/2023</t>
  </si>
  <si>
    <t>07/11/2023</t>
  </si>
  <si>
    <t>P1032</t>
  </si>
  <si>
    <t>17.01.2023</t>
  </si>
  <si>
    <t>2023-02-06</t>
  </si>
  <si>
    <t>09/03/2023</t>
  </si>
  <si>
    <t>03/25/2023</t>
  </si>
  <si>
    <t>P1024</t>
  </si>
  <si>
    <t>2023-01-29</t>
  </si>
  <si>
    <t>01/03/2023</t>
  </si>
  <si>
    <t>03/17/2023</t>
  </si>
  <si>
    <t>P1029</t>
  </si>
  <si>
    <t>16.03.2023</t>
  </si>
  <si>
    <t>2023-03-21</t>
  </si>
  <si>
    <t>03/05/2023</t>
  </si>
  <si>
    <t>06/02/2023</t>
  </si>
  <si>
    <t>P1037</t>
  </si>
  <si>
    <t>24.03.2023</t>
  </si>
  <si>
    <t>2023-04-09</t>
  </si>
  <si>
    <t>15/05/2023</t>
  </si>
  <si>
    <t>05/28/2023</t>
  </si>
  <si>
    <t>P1033</t>
  </si>
  <si>
    <t>20.03.2023</t>
  </si>
  <si>
    <t>2023-03-20</t>
  </si>
  <si>
    <t>05/05/2023</t>
  </si>
  <si>
    <t>05/19/2023</t>
  </si>
  <si>
    <t>P1027</t>
  </si>
  <si>
    <t>2023-07-30</t>
  </si>
  <si>
    <t>27/09/2023</t>
  </si>
  <si>
    <t>10/06/2023</t>
  </si>
  <si>
    <t>P1028</t>
  </si>
  <si>
    <t>Foundation</t>
  </si>
  <si>
    <t>18.01.2023</t>
  </si>
  <si>
    <t>20/03/2023</t>
  </si>
  <si>
    <t>03/23/2023</t>
  </si>
  <si>
    <t>P1019</t>
  </si>
  <si>
    <t>16.07.2023</t>
  </si>
  <si>
    <t>23/09/2023</t>
  </si>
  <si>
    <t>09/28/2023</t>
  </si>
  <si>
    <t>P1026</t>
  </si>
  <si>
    <t>20.05.2023</t>
  </si>
  <si>
    <t>2023-05-17</t>
  </si>
  <si>
    <t>14/07/2023</t>
  </si>
  <si>
    <t>07/27/2023</t>
  </si>
  <si>
    <t>P1012</t>
  </si>
  <si>
    <t>23.01.2023</t>
  </si>
  <si>
    <t>2023-01-18</t>
  </si>
  <si>
    <t>11/04/2023</t>
  </si>
  <si>
    <t>04/21/2023</t>
  </si>
  <si>
    <t>P1017</t>
  </si>
  <si>
    <t>25.03.2023</t>
  </si>
  <si>
    <t>2023-04-04</t>
  </si>
  <si>
    <t>19/05/2023</t>
  </si>
  <si>
    <t>P1018</t>
  </si>
  <si>
    <t>15.05.2023</t>
  </si>
  <si>
    <t>2023-05-31</t>
  </si>
  <si>
    <t>30/06/2023</t>
  </si>
  <si>
    <t>06/23/2023</t>
  </si>
  <si>
    <t>Contractor_Name</t>
  </si>
  <si>
    <t>Daily_Rate_EUR</t>
  </si>
  <si>
    <t>Overhead_%</t>
  </si>
  <si>
    <t>Specialization</t>
  </si>
  <si>
    <t>Risk_Rating</t>
  </si>
  <si>
    <t>Region</t>
  </si>
  <si>
    <t>Geotechnical</t>
  </si>
  <si>
    <t>Low</t>
  </si>
  <si>
    <t>Berlin</t>
  </si>
  <si>
    <t>General Civil</t>
  </si>
  <si>
    <t>National</t>
  </si>
  <si>
    <t>Structural</t>
  </si>
  <si>
    <t>Precast</t>
  </si>
  <si>
    <t>Medium</t>
  </si>
  <si>
    <t>Bavaria</t>
  </si>
  <si>
    <t>Commercial</t>
  </si>
  <si>
    <t>Large Scale</t>
  </si>
  <si>
    <t>International</t>
  </si>
  <si>
    <t>Mixed-Use</t>
  </si>
  <si>
    <t>Industrial</t>
  </si>
  <si>
    <t>Residential</t>
  </si>
  <si>
    <t>Project _ID</t>
  </si>
  <si>
    <t xml:space="preserve">Contractor </t>
  </si>
  <si>
    <t>Labour_Cost_EUR</t>
  </si>
  <si>
    <t xml:space="preserve">Actual_End </t>
  </si>
  <si>
    <t xml:space="preserve">Planned _Start </t>
  </si>
  <si>
    <t>Actual_start</t>
  </si>
  <si>
    <t xml:space="preserve">Planned_End </t>
  </si>
  <si>
    <t>Actual_Cost_EUR</t>
  </si>
  <si>
    <t>Variance_EUR</t>
  </si>
  <si>
    <t>Variance_%</t>
  </si>
  <si>
    <t>Days_Delay</t>
  </si>
  <si>
    <t>Contractor_Daily_Rate</t>
  </si>
  <si>
    <t xml:space="preserve">Delayed </t>
  </si>
  <si>
    <t xml:space="preserve">On Hold </t>
  </si>
  <si>
    <t>Budget</t>
  </si>
  <si>
    <t xml:space="preserve">Actual Cost </t>
  </si>
  <si>
    <t xml:space="preserve">Variance </t>
  </si>
  <si>
    <t>Variance %</t>
  </si>
  <si>
    <t>phase</t>
  </si>
  <si>
    <t xml:space="preserve">Phase </t>
  </si>
  <si>
    <t xml:space="preserve">Total </t>
  </si>
  <si>
    <t>Project Name</t>
  </si>
  <si>
    <t xml:space="preserve">Grand Total </t>
  </si>
  <si>
    <t>TOTAL</t>
  </si>
  <si>
    <t>Total Budget</t>
  </si>
  <si>
    <t xml:space="preserve">Total Actual </t>
  </si>
  <si>
    <t>Total</t>
  </si>
  <si>
    <t xml:space="preserve">Project Name </t>
  </si>
  <si>
    <t>RAG Status</t>
  </si>
  <si>
    <t>Total Actual</t>
  </si>
  <si>
    <t>Total Variance</t>
  </si>
  <si>
    <t>Avg Variance %</t>
  </si>
  <si>
    <t># Over Budget</t>
  </si>
  <si>
    <t># On Track</t>
  </si>
  <si>
    <t>Berlin Construction Cost Tracker</t>
  </si>
  <si>
    <t>Project Budget &amp; Variance Analysis | Berlin, Germany | 2023-2024</t>
  </si>
  <si>
    <t>TOTAL BUDGET</t>
  </si>
  <si>
    <t>TOTAL ACTUAL</t>
  </si>
  <si>
    <t xml:space="preserve">TOTAL VARIANCE </t>
  </si>
  <si>
    <t>AVG VARIANCE %</t>
  </si>
  <si>
    <t># OVER BUDGET</t>
  </si>
  <si>
    <t># ON TRACK</t>
  </si>
  <si>
    <t xml:space="preserve">Actual </t>
  </si>
  <si>
    <t>Variance  %</t>
  </si>
  <si>
    <t xml:space="preserve">Status </t>
  </si>
  <si>
    <t xml:space="preserve">COST BY PHASE </t>
  </si>
  <si>
    <t>PROJECT VARIANCE SNAPSHOT</t>
  </si>
  <si>
    <t>Rag Status</t>
  </si>
  <si>
    <t xml:space="preserve">Note: </t>
  </si>
  <si>
    <t>Red = over 10% over budget</t>
  </si>
  <si>
    <t>Yellow = 0-10% over</t>
  </si>
  <si>
    <t>Green = on or under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</si>
</sst>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€&quot;"/>
    <numFmt numFmtId="165" formatCode="dd/mm/yyyy;@"/>
    <numFmt numFmtId="166" formatCode="0.0%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00"/>
      <name val="Arial"/>
      <family val="2"/>
    </font>
    <font>
      <b/>
      <sz val="20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595959"/>
        <bgColor rgb="FF375623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2" fillId="0" borderId="0" xfId="0" applyFont="1"/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9" fontId="0" fillId="0" borderId="2" xfId="0" applyNumberFormat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164" fontId="0" fillId="4" borderId="2" xfId="0" applyNumberFormat="1" applyFill="1" applyBorder="1" applyAlignment="1">
      <alignment vertical="center" wrapText="1"/>
    </xf>
    <xf numFmtId="9" fontId="0" fillId="4" borderId="2" xfId="0" applyNumberFormat="1" applyFill="1" applyBorder="1" applyAlignment="1">
      <alignment vertical="center" wrapText="1"/>
    </xf>
    <xf numFmtId="14" fontId="1" fillId="3" borderId="0" xfId="0" applyNumberFormat="1" applyFont="1" applyFill="1" applyAlignment="1">
      <alignment horizontal="center"/>
    </xf>
    <xf numFmtId="14" fontId="4" fillId="0" borderId="1" xfId="0" applyNumberFormat="1" applyFont="1" applyBorder="1" applyAlignment="1">
      <alignment horizontal="left" vertical="center"/>
    </xf>
    <xf numFmtId="14" fontId="0" fillId="0" borderId="0" xfId="0" applyNumberFormat="1"/>
    <xf numFmtId="165" fontId="1" fillId="3" borderId="0" xfId="0" applyNumberFormat="1" applyFont="1" applyFill="1" applyAlignment="1">
      <alignment horizontal="center"/>
    </xf>
    <xf numFmtId="165" fontId="4" fillId="0" borderId="1" xfId="0" applyNumberFormat="1" applyFont="1" applyBorder="1" applyAlignment="1">
      <alignment horizontal="left" vertical="center"/>
    </xf>
    <xf numFmtId="165" fontId="0" fillId="0" borderId="0" xfId="0" applyNumberFormat="1"/>
    <xf numFmtId="166" fontId="0" fillId="0" borderId="0" xfId="0" applyNumberFormat="1"/>
    <xf numFmtId="164" fontId="0" fillId="0" borderId="0" xfId="0" applyNumberFormat="1"/>
    <xf numFmtId="0" fontId="1" fillId="3" borderId="0" xfId="0" applyFont="1" applyFill="1"/>
    <xf numFmtId="0" fontId="5" fillId="0" borderId="1" xfId="0" applyFont="1" applyBorder="1" applyAlignment="1">
      <alignment horizontal="left" vertical="center"/>
    </xf>
    <xf numFmtId="3" fontId="0" fillId="0" borderId="0" xfId="0" applyNumberFormat="1"/>
    <xf numFmtId="0" fontId="1" fillId="3" borderId="0" xfId="0" applyFont="1" applyFill="1" applyAlignment="1">
      <alignment horizontal="center" vertical="center"/>
    </xf>
    <xf numFmtId="166" fontId="2" fillId="0" borderId="0" xfId="0" applyNumberFormat="1" applyFont="1"/>
    <xf numFmtId="0" fontId="6" fillId="3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6" borderId="0" xfId="0" applyFont="1" applyFill="1"/>
    <xf numFmtId="0" fontId="1" fillId="6" borderId="0" xfId="0" applyFont="1" applyFill="1" applyAlignment="1">
      <alignment horizontal="center" vertical="center"/>
    </xf>
    <xf numFmtId="0" fontId="1" fillId="7" borderId="0" xfId="0" applyFont="1" applyFill="1"/>
    <xf numFmtId="0" fontId="1" fillId="8" borderId="0" xfId="0" applyFont="1" applyFill="1" applyAlignment="1">
      <alignment horizontal="center" vertical="center"/>
    </xf>
    <xf numFmtId="0" fontId="1" fillId="9" borderId="0" xfId="0" applyFont="1" applyFill="1"/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Border="1"/>
    <xf numFmtId="0" fontId="1" fillId="10" borderId="0" xfId="0" applyFont="1" applyFill="1" applyAlignment="1">
      <alignment horizontal="center" vertical="center"/>
    </xf>
    <xf numFmtId="0" fontId="1" fillId="11" borderId="0" xfId="0" applyFont="1" applyFill="1" applyBorder="1"/>
    <xf numFmtId="0" fontId="1" fillId="11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4" borderId="0" xfId="0" applyFont="1" applyFill="1"/>
    <xf numFmtId="0" fontId="2" fillId="12" borderId="0" xfId="0" applyFont="1" applyFill="1"/>
    <xf numFmtId="0" fontId="10" fillId="0" borderId="0" xfId="0" applyFont="1"/>
  </cellXfs>
  <cellStyles count="1">
    <cellStyle name="Normal" xfId="0" builtinId="0"/>
  </cellStyles>
  <dxfs count="9">
    <dxf>
      <fill>
        <patternFill>
          <bgColor theme="9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02A4D-2BDC-4700-A1F4-FCD677C95F1A}">
  <sheetPr>
    <tabColor theme="5"/>
  </sheetPr>
  <dimension ref="A1:M42"/>
  <sheetViews>
    <sheetView topLeftCell="K1" workbookViewId="0">
      <selection activeCell="M2" sqref="M2:M42"/>
    </sheetView>
  </sheetViews>
  <sheetFormatPr defaultColWidth="17.6328125"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 t="s">
        <v>13</v>
      </c>
      <c r="B2" s="2" t="s">
        <v>14</v>
      </c>
      <c r="C2" s="2" t="s">
        <v>15</v>
      </c>
      <c r="D2" s="2" t="s">
        <v>16</v>
      </c>
      <c r="E2" s="3">
        <v>58753.760000000002</v>
      </c>
      <c r="F2" s="3">
        <v>76754.98</v>
      </c>
      <c r="G2" s="2" t="s">
        <v>17</v>
      </c>
      <c r="H2" s="2" t="s">
        <v>18</v>
      </c>
      <c r="I2" s="2" t="s">
        <v>19</v>
      </c>
      <c r="J2" s="2" t="s">
        <v>20</v>
      </c>
      <c r="K2" s="3">
        <v>124256.53</v>
      </c>
      <c r="L2" s="2" t="s">
        <v>21</v>
      </c>
      <c r="M2" s="2"/>
    </row>
    <row r="3" spans="1:13" x14ac:dyDescent="0.35">
      <c r="A3" s="2" t="s">
        <v>22</v>
      </c>
      <c r="B3" s="2" t="s">
        <v>23</v>
      </c>
      <c r="C3" s="2" t="s">
        <v>24</v>
      </c>
      <c r="D3" s="2" t="s">
        <v>25</v>
      </c>
      <c r="E3" s="3">
        <v>142965.07999999999</v>
      </c>
      <c r="F3" s="3">
        <v>52249.31</v>
      </c>
      <c r="G3" s="2" t="s">
        <v>26</v>
      </c>
      <c r="H3" s="2" t="s">
        <v>27</v>
      </c>
      <c r="I3" s="2" t="s">
        <v>28</v>
      </c>
      <c r="J3" s="2" t="s">
        <v>29</v>
      </c>
      <c r="K3" s="3">
        <v>203735.54</v>
      </c>
      <c r="L3" s="2" t="s">
        <v>30</v>
      </c>
      <c r="M3" s="2"/>
    </row>
    <row r="4" spans="1:13" x14ac:dyDescent="0.35">
      <c r="A4" s="2" t="s">
        <v>31</v>
      </c>
      <c r="B4" s="2" t="s">
        <v>32</v>
      </c>
      <c r="C4" s="2" t="s">
        <v>33</v>
      </c>
      <c r="D4" s="2" t="s">
        <v>34</v>
      </c>
      <c r="E4" s="3">
        <v>137994.94</v>
      </c>
      <c r="F4" s="3">
        <v>124048.4</v>
      </c>
      <c r="G4" s="2" t="s">
        <v>35</v>
      </c>
      <c r="H4" s="2" t="s">
        <v>36</v>
      </c>
      <c r="I4" s="2" t="s">
        <v>37</v>
      </c>
      <c r="J4" s="2" t="s">
        <v>38</v>
      </c>
      <c r="K4" s="3">
        <v>296824.15999999997</v>
      </c>
      <c r="L4" s="2" t="s">
        <v>39</v>
      </c>
      <c r="M4" s="2"/>
    </row>
    <row r="5" spans="1:13" x14ac:dyDescent="0.35">
      <c r="A5" s="2" t="s">
        <v>40</v>
      </c>
      <c r="B5" s="2" t="s">
        <v>41</v>
      </c>
      <c r="C5" s="2" t="s">
        <v>24</v>
      </c>
      <c r="D5" s="2" t="s">
        <v>42</v>
      </c>
      <c r="E5" s="3">
        <v>179563.34</v>
      </c>
      <c r="F5" s="3">
        <v>65616.2</v>
      </c>
      <c r="G5" s="2" t="s">
        <v>43</v>
      </c>
      <c r="H5" s="2" t="s">
        <v>44</v>
      </c>
      <c r="I5" s="2" t="s">
        <v>45</v>
      </c>
      <c r="J5" s="2" t="s">
        <v>46</v>
      </c>
      <c r="K5" s="3">
        <v>228039.86</v>
      </c>
      <c r="L5" s="2" t="s">
        <v>47</v>
      </c>
      <c r="M5" s="2" t="s">
        <v>48</v>
      </c>
    </row>
    <row r="6" spans="1:13" x14ac:dyDescent="0.35">
      <c r="A6" s="2" t="s">
        <v>49</v>
      </c>
      <c r="B6" s="2" t="s">
        <v>41</v>
      </c>
      <c r="C6" s="2" t="s">
        <v>50</v>
      </c>
      <c r="D6" s="2" t="s">
        <v>51</v>
      </c>
      <c r="E6" s="3">
        <v>73166.009999999995</v>
      </c>
      <c r="F6" s="3">
        <v>185233.14</v>
      </c>
      <c r="G6" s="2" t="s">
        <v>52</v>
      </c>
      <c r="H6" s="2" t="s">
        <v>53</v>
      </c>
      <c r="I6" s="2" t="s">
        <v>54</v>
      </c>
      <c r="J6" s="2" t="s">
        <v>55</v>
      </c>
      <c r="K6" s="3">
        <v>263606.93</v>
      </c>
      <c r="L6" s="2" t="s">
        <v>56</v>
      </c>
      <c r="M6" s="2"/>
    </row>
    <row r="7" spans="1:13" x14ac:dyDescent="0.35">
      <c r="A7" s="2" t="s">
        <v>57</v>
      </c>
      <c r="B7" s="2" t="s">
        <v>58</v>
      </c>
      <c r="C7" s="2" t="s">
        <v>33</v>
      </c>
      <c r="D7" s="2" t="s">
        <v>34</v>
      </c>
      <c r="E7" s="3">
        <v>107794.44</v>
      </c>
      <c r="F7" s="3">
        <v>119704.54</v>
      </c>
      <c r="G7" s="2" t="s">
        <v>59</v>
      </c>
      <c r="H7" s="2" t="s">
        <v>60</v>
      </c>
      <c r="I7" s="2" t="s">
        <v>61</v>
      </c>
      <c r="J7" s="2" t="s">
        <v>62</v>
      </c>
      <c r="K7" s="3">
        <v>234773.98</v>
      </c>
      <c r="L7" s="2" t="s">
        <v>30</v>
      </c>
      <c r="M7" s="2" t="s">
        <v>63</v>
      </c>
    </row>
    <row r="8" spans="1:13" x14ac:dyDescent="0.35">
      <c r="A8" s="2" t="s">
        <v>64</v>
      </c>
      <c r="B8" s="2" t="s">
        <v>14</v>
      </c>
      <c r="C8" s="2" t="s">
        <v>65</v>
      </c>
      <c r="D8" s="2" t="s">
        <v>66</v>
      </c>
      <c r="E8" s="3">
        <v>346623.03</v>
      </c>
      <c r="F8" s="3">
        <v>132633.43</v>
      </c>
      <c r="G8" s="2" t="s">
        <v>67</v>
      </c>
      <c r="H8" s="2" t="s">
        <v>68</v>
      </c>
      <c r="I8" s="2" t="s">
        <v>69</v>
      </c>
      <c r="J8" s="2" t="s">
        <v>70</v>
      </c>
      <c r="K8" s="3">
        <v>523414.42</v>
      </c>
      <c r="L8" s="2" t="s">
        <v>71</v>
      </c>
      <c r="M8" s="2" t="s">
        <v>63</v>
      </c>
    </row>
    <row r="9" spans="1:13" x14ac:dyDescent="0.35">
      <c r="A9" s="2" t="s">
        <v>72</v>
      </c>
      <c r="B9" s="2" t="s">
        <v>73</v>
      </c>
      <c r="C9" s="2" t="s">
        <v>24</v>
      </c>
      <c r="D9" s="2" t="s">
        <v>74</v>
      </c>
      <c r="E9" s="3">
        <v>365855</v>
      </c>
      <c r="F9" s="3">
        <v>57988.31</v>
      </c>
      <c r="G9" s="2" t="s">
        <v>75</v>
      </c>
      <c r="H9" s="2" t="s">
        <v>76</v>
      </c>
      <c r="I9" s="2" t="s">
        <v>77</v>
      </c>
      <c r="J9" s="2" t="s">
        <v>78</v>
      </c>
      <c r="K9" s="3">
        <v>360540.88</v>
      </c>
      <c r="L9" s="2" t="s">
        <v>30</v>
      </c>
      <c r="M9" s="2" t="s">
        <v>79</v>
      </c>
    </row>
    <row r="10" spans="1:13" x14ac:dyDescent="0.35">
      <c r="A10" s="2" t="s">
        <v>80</v>
      </c>
      <c r="B10" s="2" t="s">
        <v>81</v>
      </c>
      <c r="C10" s="2" t="s">
        <v>82</v>
      </c>
      <c r="D10" s="2" t="s">
        <v>51</v>
      </c>
      <c r="E10" s="3">
        <v>177628.03</v>
      </c>
      <c r="F10" s="3">
        <v>188624.96</v>
      </c>
      <c r="G10" s="2" t="s">
        <v>83</v>
      </c>
      <c r="H10" s="2" t="s">
        <v>53</v>
      </c>
      <c r="I10" s="2" t="s">
        <v>84</v>
      </c>
      <c r="J10" s="2" t="s">
        <v>85</v>
      </c>
      <c r="K10" s="3">
        <v>418135.98</v>
      </c>
      <c r="L10" s="2" t="s">
        <v>86</v>
      </c>
      <c r="M10" s="2" t="s">
        <v>87</v>
      </c>
    </row>
    <row r="11" spans="1:13" x14ac:dyDescent="0.35">
      <c r="A11" s="2" t="s">
        <v>88</v>
      </c>
      <c r="B11" s="2" t="s">
        <v>89</v>
      </c>
      <c r="C11" s="2" t="s">
        <v>90</v>
      </c>
      <c r="D11" s="2" t="s">
        <v>91</v>
      </c>
      <c r="E11" s="3">
        <v>159870.48000000001</v>
      </c>
      <c r="F11" s="3">
        <v>174162.6</v>
      </c>
      <c r="G11" s="2" t="s">
        <v>92</v>
      </c>
      <c r="H11" s="2" t="s">
        <v>60</v>
      </c>
      <c r="I11" s="2" t="s">
        <v>93</v>
      </c>
      <c r="J11" s="2" t="s">
        <v>94</v>
      </c>
      <c r="K11" s="3">
        <v>356054.64</v>
      </c>
      <c r="L11" s="2" t="s">
        <v>95</v>
      </c>
      <c r="M11" s="2" t="s">
        <v>96</v>
      </c>
    </row>
    <row r="12" spans="1:13" x14ac:dyDescent="0.35">
      <c r="A12" s="2" t="s">
        <v>13</v>
      </c>
      <c r="B12" s="2" t="s">
        <v>14</v>
      </c>
      <c r="C12" s="2" t="s">
        <v>15</v>
      </c>
      <c r="D12" s="2" t="s">
        <v>16</v>
      </c>
      <c r="E12" s="3">
        <v>58753.760000000002</v>
      </c>
      <c r="F12" s="3">
        <v>76754.98</v>
      </c>
      <c r="G12" s="2" t="s">
        <v>17</v>
      </c>
      <c r="H12" s="2" t="s">
        <v>18</v>
      </c>
      <c r="I12" s="2" t="s">
        <v>19</v>
      </c>
      <c r="J12" s="2" t="s">
        <v>20</v>
      </c>
      <c r="K12" s="3">
        <v>124256.53</v>
      </c>
      <c r="L12" s="2" t="s">
        <v>21</v>
      </c>
      <c r="M12" s="2"/>
    </row>
    <row r="13" spans="1:13" x14ac:dyDescent="0.35">
      <c r="A13" s="2" t="s">
        <v>97</v>
      </c>
      <c r="B13" s="2" t="s">
        <v>98</v>
      </c>
      <c r="C13" s="2" t="s">
        <v>99</v>
      </c>
      <c r="D13" s="2" t="s">
        <v>16</v>
      </c>
      <c r="E13" s="3">
        <v>297744.33</v>
      </c>
      <c r="F13" s="3">
        <v>40008.54</v>
      </c>
      <c r="G13" s="2" t="s">
        <v>100</v>
      </c>
      <c r="H13" s="2" t="s">
        <v>101</v>
      </c>
      <c r="I13" s="2" t="s">
        <v>102</v>
      </c>
      <c r="J13" s="2" t="s">
        <v>103</v>
      </c>
      <c r="K13" s="3">
        <v>293919.34000000003</v>
      </c>
      <c r="L13" s="2" t="s">
        <v>47</v>
      </c>
      <c r="M13" s="2" t="s">
        <v>104</v>
      </c>
    </row>
    <row r="14" spans="1:13" x14ac:dyDescent="0.35">
      <c r="A14" s="2" t="s">
        <v>105</v>
      </c>
      <c r="B14" s="2" t="s">
        <v>58</v>
      </c>
      <c r="C14" s="2" t="s">
        <v>106</v>
      </c>
      <c r="D14" s="2" t="s">
        <v>51</v>
      </c>
      <c r="E14" s="3">
        <v>133808.31</v>
      </c>
      <c r="F14" s="3">
        <v>70948.17</v>
      </c>
      <c r="G14" s="2" t="s">
        <v>107</v>
      </c>
      <c r="H14" s="2" t="s">
        <v>108</v>
      </c>
      <c r="I14" s="2" t="s">
        <v>109</v>
      </c>
      <c r="J14" s="2" t="s">
        <v>110</v>
      </c>
      <c r="K14" s="3">
        <v>208894.01</v>
      </c>
      <c r="L14" s="2" t="s">
        <v>47</v>
      </c>
      <c r="M14" s="2" t="s">
        <v>104</v>
      </c>
    </row>
    <row r="15" spans="1:13" x14ac:dyDescent="0.35">
      <c r="A15" s="2" t="s">
        <v>111</v>
      </c>
      <c r="B15" s="2" t="s">
        <v>32</v>
      </c>
      <c r="C15" s="2" t="s">
        <v>65</v>
      </c>
      <c r="D15" s="2" t="s">
        <v>51</v>
      </c>
      <c r="E15" s="3">
        <v>202167.84</v>
      </c>
      <c r="F15" s="3">
        <v>107133.03</v>
      </c>
      <c r="G15" s="2" t="s">
        <v>112</v>
      </c>
      <c r="H15" s="2" t="s">
        <v>113</v>
      </c>
      <c r="I15" s="2" t="s">
        <v>114</v>
      </c>
      <c r="J15" s="2" t="s">
        <v>115</v>
      </c>
      <c r="K15" s="3">
        <v>351410.57</v>
      </c>
      <c r="L15" s="2" t="s">
        <v>71</v>
      </c>
      <c r="M15" s="2" t="s">
        <v>79</v>
      </c>
    </row>
    <row r="16" spans="1:13" x14ac:dyDescent="0.35">
      <c r="A16" s="2" t="s">
        <v>116</v>
      </c>
      <c r="B16" s="2" t="s">
        <v>14</v>
      </c>
      <c r="C16" s="2" t="s">
        <v>117</v>
      </c>
      <c r="D16" s="2" t="s">
        <v>118</v>
      </c>
      <c r="E16" s="3">
        <v>315582.58</v>
      </c>
      <c r="F16" s="3">
        <v>57142.080000000002</v>
      </c>
      <c r="G16" s="2" t="s">
        <v>92</v>
      </c>
      <c r="H16" s="2" t="s">
        <v>119</v>
      </c>
      <c r="I16" s="2" t="s">
        <v>37</v>
      </c>
      <c r="J16" s="2" t="s">
        <v>120</v>
      </c>
      <c r="K16" s="3">
        <v>364071.6</v>
      </c>
      <c r="L16" s="2" t="s">
        <v>71</v>
      </c>
      <c r="M16" s="2"/>
    </row>
    <row r="17" spans="1:13" x14ac:dyDescent="0.35">
      <c r="A17" s="2" t="s">
        <v>121</v>
      </c>
      <c r="B17" s="2" t="s">
        <v>89</v>
      </c>
      <c r="C17" s="2" t="s">
        <v>99</v>
      </c>
      <c r="D17" s="2" t="s">
        <v>118</v>
      </c>
      <c r="E17" s="3">
        <v>87940.89</v>
      </c>
      <c r="F17" s="3">
        <v>103875.84</v>
      </c>
      <c r="G17" s="2" t="s">
        <v>122</v>
      </c>
      <c r="H17" s="2" t="s">
        <v>123</v>
      </c>
      <c r="I17" s="2" t="s">
        <v>38</v>
      </c>
      <c r="J17" s="2" t="s">
        <v>124</v>
      </c>
      <c r="K17" s="3">
        <v>204968.36</v>
      </c>
      <c r="L17" s="2" t="s">
        <v>86</v>
      </c>
      <c r="M17" s="2" t="s">
        <v>48</v>
      </c>
    </row>
    <row r="18" spans="1:13" x14ac:dyDescent="0.35">
      <c r="A18" s="2" t="s">
        <v>125</v>
      </c>
      <c r="B18" s="2" t="s">
        <v>41</v>
      </c>
      <c r="C18" s="2" t="s">
        <v>117</v>
      </c>
      <c r="D18" s="2" t="s">
        <v>42</v>
      </c>
      <c r="E18" s="3">
        <v>211791.07</v>
      </c>
      <c r="F18" s="3">
        <v>75891.13</v>
      </c>
      <c r="G18" s="2" t="s">
        <v>126</v>
      </c>
      <c r="H18" s="2" t="s">
        <v>127</v>
      </c>
      <c r="I18" s="2" t="s">
        <v>128</v>
      </c>
      <c r="J18" s="2" t="s">
        <v>129</v>
      </c>
      <c r="K18" s="3">
        <v>324395.44</v>
      </c>
      <c r="L18" s="2" t="s">
        <v>130</v>
      </c>
      <c r="M18" s="2" t="s">
        <v>87</v>
      </c>
    </row>
    <row r="19" spans="1:13" x14ac:dyDescent="0.35">
      <c r="A19" s="2" t="s">
        <v>131</v>
      </c>
      <c r="B19" s="2" t="s">
        <v>73</v>
      </c>
      <c r="C19" s="2" t="s">
        <v>65</v>
      </c>
      <c r="D19" s="2" t="s">
        <v>34</v>
      </c>
      <c r="E19" s="3">
        <v>371785.5</v>
      </c>
      <c r="F19" s="3">
        <v>120291.44</v>
      </c>
      <c r="G19" s="2" t="s">
        <v>132</v>
      </c>
      <c r="H19" s="2" t="s">
        <v>133</v>
      </c>
      <c r="I19" s="2" t="s">
        <v>134</v>
      </c>
      <c r="J19" s="2" t="s">
        <v>45</v>
      </c>
      <c r="K19" s="3">
        <v>426662.14</v>
      </c>
      <c r="L19" s="2" t="s">
        <v>135</v>
      </c>
      <c r="M19" s="2" t="s">
        <v>87</v>
      </c>
    </row>
    <row r="20" spans="1:13" x14ac:dyDescent="0.35">
      <c r="A20" s="2" t="s">
        <v>136</v>
      </c>
      <c r="B20" s="2" t="s">
        <v>32</v>
      </c>
      <c r="C20" s="2" t="s">
        <v>137</v>
      </c>
      <c r="D20" s="2" t="s">
        <v>16</v>
      </c>
      <c r="E20" s="3">
        <v>314523.76</v>
      </c>
      <c r="F20" s="3">
        <v>176387.49</v>
      </c>
      <c r="G20" s="2" t="s">
        <v>138</v>
      </c>
      <c r="H20" s="2" t="s">
        <v>139</v>
      </c>
      <c r="I20" s="2" t="s">
        <v>140</v>
      </c>
      <c r="J20" s="2" t="s">
        <v>141</v>
      </c>
      <c r="K20" s="3">
        <v>439784.02</v>
      </c>
      <c r="L20" s="2" t="s">
        <v>71</v>
      </c>
      <c r="M20" s="2" t="s">
        <v>104</v>
      </c>
    </row>
    <row r="21" spans="1:13" x14ac:dyDescent="0.35">
      <c r="A21" s="2" t="s">
        <v>142</v>
      </c>
      <c r="B21" s="2" t="s">
        <v>89</v>
      </c>
      <c r="C21" s="2" t="s">
        <v>82</v>
      </c>
      <c r="D21" s="2" t="s">
        <v>34</v>
      </c>
      <c r="E21" s="3">
        <v>94550.73</v>
      </c>
      <c r="F21" s="3">
        <v>101475.88</v>
      </c>
      <c r="G21" s="2" t="s">
        <v>143</v>
      </c>
      <c r="H21" s="2" t="s">
        <v>144</v>
      </c>
      <c r="I21" s="2" t="s">
        <v>145</v>
      </c>
      <c r="J21" s="2" t="s">
        <v>146</v>
      </c>
      <c r="K21" s="3">
        <v>221923.51</v>
      </c>
      <c r="L21" s="2" t="s">
        <v>95</v>
      </c>
      <c r="M21" s="2"/>
    </row>
    <row r="22" spans="1:13" x14ac:dyDescent="0.35">
      <c r="A22" s="2" t="s">
        <v>147</v>
      </c>
      <c r="B22" s="2" t="s">
        <v>148</v>
      </c>
      <c r="C22" s="2" t="s">
        <v>50</v>
      </c>
      <c r="D22" s="2" t="s">
        <v>66</v>
      </c>
      <c r="E22" s="3">
        <v>274518.61</v>
      </c>
      <c r="F22" s="3">
        <v>97945.33</v>
      </c>
      <c r="G22" s="2" t="s">
        <v>132</v>
      </c>
      <c r="H22" s="2" t="s">
        <v>149</v>
      </c>
      <c r="I22" s="2" t="s">
        <v>150</v>
      </c>
      <c r="J22" s="2" t="s">
        <v>151</v>
      </c>
      <c r="K22" s="3">
        <v>426227.21</v>
      </c>
      <c r="L22" s="2" t="s">
        <v>95</v>
      </c>
      <c r="M22" s="2" t="s">
        <v>96</v>
      </c>
    </row>
    <row r="23" spans="1:13" x14ac:dyDescent="0.35">
      <c r="A23" s="2" t="s">
        <v>152</v>
      </c>
      <c r="B23" s="2" t="s">
        <v>148</v>
      </c>
      <c r="C23" s="2" t="s">
        <v>90</v>
      </c>
      <c r="D23" s="2" t="s">
        <v>153</v>
      </c>
      <c r="E23" s="3">
        <v>172380.45</v>
      </c>
      <c r="F23" s="3">
        <v>169491.18</v>
      </c>
      <c r="G23" s="2" t="s">
        <v>59</v>
      </c>
      <c r="H23" s="2" t="s">
        <v>154</v>
      </c>
      <c r="I23" s="2" t="s">
        <v>61</v>
      </c>
      <c r="J23" s="2" t="s">
        <v>155</v>
      </c>
      <c r="K23" s="3">
        <v>379955.07</v>
      </c>
      <c r="L23" s="2" t="s">
        <v>156</v>
      </c>
      <c r="M23" s="2" t="s">
        <v>96</v>
      </c>
    </row>
    <row r="24" spans="1:13" x14ac:dyDescent="0.35">
      <c r="A24" s="2" t="s">
        <v>157</v>
      </c>
      <c r="B24" s="2" t="s">
        <v>58</v>
      </c>
      <c r="C24" s="2" t="s">
        <v>65</v>
      </c>
      <c r="D24" s="2" t="s">
        <v>153</v>
      </c>
      <c r="E24" s="3">
        <v>364864.93</v>
      </c>
      <c r="F24" s="3">
        <v>106752.64</v>
      </c>
      <c r="G24" s="2" t="s">
        <v>158</v>
      </c>
      <c r="H24" s="2" t="s">
        <v>53</v>
      </c>
      <c r="I24" s="2" t="s">
        <v>159</v>
      </c>
      <c r="J24" s="2" t="s">
        <v>160</v>
      </c>
      <c r="K24" s="3">
        <v>435949.93</v>
      </c>
      <c r="L24" s="2" t="s">
        <v>161</v>
      </c>
      <c r="M24" s="2"/>
    </row>
    <row r="25" spans="1:13" x14ac:dyDescent="0.35">
      <c r="A25" s="2" t="s">
        <v>162</v>
      </c>
      <c r="B25" s="2" t="s">
        <v>32</v>
      </c>
      <c r="C25" s="2" t="s">
        <v>15</v>
      </c>
      <c r="D25" s="2" t="s">
        <v>25</v>
      </c>
      <c r="E25" s="3">
        <v>310746.14</v>
      </c>
      <c r="F25" s="3">
        <v>121626.14</v>
      </c>
      <c r="G25" s="2" t="s">
        <v>163</v>
      </c>
      <c r="H25" s="2" t="s">
        <v>164</v>
      </c>
      <c r="I25" s="2" t="s">
        <v>165</v>
      </c>
      <c r="J25" s="2" t="s">
        <v>166</v>
      </c>
      <c r="K25" s="3">
        <v>464412.86</v>
      </c>
      <c r="L25" s="2" t="s">
        <v>47</v>
      </c>
      <c r="M25" s="2" t="s">
        <v>104</v>
      </c>
    </row>
    <row r="26" spans="1:13" x14ac:dyDescent="0.35">
      <c r="A26" s="2" t="s">
        <v>167</v>
      </c>
      <c r="B26" s="2" t="s">
        <v>14</v>
      </c>
      <c r="C26" s="2" t="s">
        <v>137</v>
      </c>
      <c r="D26" s="2" t="s">
        <v>25</v>
      </c>
      <c r="E26" s="3">
        <v>131431.31</v>
      </c>
      <c r="F26" s="3">
        <v>132343.18</v>
      </c>
      <c r="G26" s="2" t="s">
        <v>43</v>
      </c>
      <c r="H26" s="2" t="s">
        <v>168</v>
      </c>
      <c r="I26" s="2" t="s">
        <v>169</v>
      </c>
      <c r="J26" s="2" t="s">
        <v>170</v>
      </c>
      <c r="K26" s="3">
        <v>268620.96000000002</v>
      </c>
      <c r="L26" s="2" t="s">
        <v>47</v>
      </c>
      <c r="M26" s="2" t="s">
        <v>96</v>
      </c>
    </row>
    <row r="27" spans="1:13" x14ac:dyDescent="0.35">
      <c r="A27" s="2" t="s">
        <v>171</v>
      </c>
      <c r="B27" s="2" t="s">
        <v>73</v>
      </c>
      <c r="C27" s="2" t="s">
        <v>99</v>
      </c>
      <c r="D27" s="2" t="s">
        <v>118</v>
      </c>
      <c r="E27" s="3">
        <v>278250.71000000002</v>
      </c>
      <c r="F27" s="3">
        <v>121899.95</v>
      </c>
      <c r="G27" s="2" t="s">
        <v>17</v>
      </c>
      <c r="H27" s="2" t="s">
        <v>172</v>
      </c>
      <c r="I27" s="2" t="s">
        <v>173</v>
      </c>
      <c r="J27" s="2" t="s">
        <v>174</v>
      </c>
      <c r="K27" s="3">
        <v>341899.67</v>
      </c>
      <c r="L27" s="2" t="s">
        <v>56</v>
      </c>
      <c r="M27" s="2" t="s">
        <v>48</v>
      </c>
    </row>
    <row r="28" spans="1:13" x14ac:dyDescent="0.35">
      <c r="A28" s="2" t="s">
        <v>175</v>
      </c>
      <c r="B28" s="2" t="s">
        <v>41</v>
      </c>
      <c r="C28" s="2" t="s">
        <v>99</v>
      </c>
      <c r="D28" s="2" t="s">
        <v>91</v>
      </c>
      <c r="E28" s="3">
        <v>117301.01</v>
      </c>
      <c r="F28" s="3">
        <v>41824.379999999997</v>
      </c>
      <c r="G28" s="2" t="s">
        <v>176</v>
      </c>
      <c r="H28" s="2" t="s">
        <v>177</v>
      </c>
      <c r="I28" s="2" t="s">
        <v>178</v>
      </c>
      <c r="J28" s="2" t="s">
        <v>179</v>
      </c>
      <c r="K28" s="3">
        <v>166823.72</v>
      </c>
      <c r="L28" s="2" t="s">
        <v>56</v>
      </c>
      <c r="M28" s="2" t="s">
        <v>63</v>
      </c>
    </row>
    <row r="29" spans="1:13" x14ac:dyDescent="0.35">
      <c r="A29" s="2" t="s">
        <v>180</v>
      </c>
      <c r="B29" s="2" t="s">
        <v>73</v>
      </c>
      <c r="C29" s="2" t="s">
        <v>117</v>
      </c>
      <c r="D29" s="2" t="s">
        <v>153</v>
      </c>
      <c r="E29" s="3">
        <v>104178.89</v>
      </c>
      <c r="F29" s="3">
        <v>80440.33</v>
      </c>
      <c r="G29" s="2" t="s">
        <v>181</v>
      </c>
      <c r="H29" s="2" t="s">
        <v>182</v>
      </c>
      <c r="I29" s="2" t="s">
        <v>183</v>
      </c>
      <c r="J29" s="2" t="s">
        <v>184</v>
      </c>
      <c r="K29" s="3">
        <v>210579.05</v>
      </c>
      <c r="L29" s="2" t="s">
        <v>156</v>
      </c>
      <c r="M29" s="2" t="s">
        <v>104</v>
      </c>
    </row>
    <row r="30" spans="1:13" x14ac:dyDescent="0.35">
      <c r="A30" s="2" t="s">
        <v>185</v>
      </c>
      <c r="B30" s="2" t="s">
        <v>81</v>
      </c>
      <c r="C30" s="2" t="s">
        <v>90</v>
      </c>
      <c r="D30" s="2" t="s">
        <v>34</v>
      </c>
      <c r="E30" s="3">
        <v>296983.61</v>
      </c>
      <c r="F30" s="3">
        <v>125354.17</v>
      </c>
      <c r="G30" s="2" t="s">
        <v>186</v>
      </c>
      <c r="H30" s="2" t="s">
        <v>187</v>
      </c>
      <c r="I30" s="2" t="s">
        <v>188</v>
      </c>
      <c r="J30" s="2" t="s">
        <v>189</v>
      </c>
      <c r="K30" s="3">
        <v>373161.68</v>
      </c>
      <c r="L30" s="2" t="s">
        <v>161</v>
      </c>
      <c r="M30" s="2"/>
    </row>
    <row r="31" spans="1:13" x14ac:dyDescent="0.35">
      <c r="A31" s="2" t="s">
        <v>190</v>
      </c>
      <c r="B31" s="2" t="s">
        <v>148</v>
      </c>
      <c r="C31" s="2" t="s">
        <v>15</v>
      </c>
      <c r="D31" s="2" t="s">
        <v>91</v>
      </c>
      <c r="E31" s="3">
        <v>312317.15999999997</v>
      </c>
      <c r="F31" s="3">
        <v>187379.85</v>
      </c>
      <c r="G31" s="2" t="s">
        <v>191</v>
      </c>
      <c r="H31" s="2" t="s">
        <v>192</v>
      </c>
      <c r="I31" s="2" t="s">
        <v>193</v>
      </c>
      <c r="J31" s="2" t="s">
        <v>194</v>
      </c>
      <c r="K31" s="3">
        <v>460231.54</v>
      </c>
      <c r="L31" s="2" t="s">
        <v>86</v>
      </c>
      <c r="M31" s="2" t="s">
        <v>63</v>
      </c>
    </row>
    <row r="32" spans="1:13" x14ac:dyDescent="0.35">
      <c r="A32" s="2" t="s">
        <v>195</v>
      </c>
      <c r="B32" s="2" t="s">
        <v>23</v>
      </c>
      <c r="C32" s="2" t="s">
        <v>99</v>
      </c>
      <c r="D32" s="2" t="s">
        <v>16</v>
      </c>
      <c r="E32" s="3">
        <v>379558.64</v>
      </c>
      <c r="F32" s="3">
        <v>126844.82</v>
      </c>
      <c r="G32" s="2" t="s">
        <v>100</v>
      </c>
      <c r="H32" s="2" t="s">
        <v>196</v>
      </c>
      <c r="I32" s="2" t="s">
        <v>197</v>
      </c>
      <c r="J32" s="2" t="s">
        <v>198</v>
      </c>
      <c r="K32" s="3">
        <v>518392.93</v>
      </c>
      <c r="L32" s="2" t="s">
        <v>156</v>
      </c>
      <c r="M32" s="2" t="s">
        <v>63</v>
      </c>
    </row>
    <row r="33" spans="1:13" x14ac:dyDescent="0.35">
      <c r="A33" s="2" t="s">
        <v>199</v>
      </c>
      <c r="B33" s="2" t="s">
        <v>81</v>
      </c>
      <c r="C33" s="2" t="s">
        <v>106</v>
      </c>
      <c r="D33" s="2" t="s">
        <v>118</v>
      </c>
      <c r="E33" s="3">
        <v>82304.460000000006</v>
      </c>
      <c r="F33" s="3">
        <v>102007.88</v>
      </c>
      <c r="G33" s="2" t="s">
        <v>200</v>
      </c>
      <c r="H33" s="2" t="s">
        <v>201</v>
      </c>
      <c r="I33" s="2" t="s">
        <v>202</v>
      </c>
      <c r="J33" s="2" t="s">
        <v>203</v>
      </c>
      <c r="K33" s="3">
        <v>171964.16</v>
      </c>
      <c r="L33" s="2" t="s">
        <v>95</v>
      </c>
      <c r="M33" s="2" t="s">
        <v>104</v>
      </c>
    </row>
    <row r="34" spans="1:13" x14ac:dyDescent="0.35">
      <c r="A34" s="2" t="s">
        <v>204</v>
      </c>
      <c r="B34" s="2" t="s">
        <v>89</v>
      </c>
      <c r="C34" s="2" t="s">
        <v>106</v>
      </c>
      <c r="D34" s="2" t="s">
        <v>51</v>
      </c>
      <c r="E34" s="3">
        <v>65535.29</v>
      </c>
      <c r="F34" s="3">
        <v>104129.78</v>
      </c>
      <c r="G34" s="2" t="s">
        <v>205</v>
      </c>
      <c r="H34" s="2" t="s">
        <v>206</v>
      </c>
      <c r="I34" s="2" t="s">
        <v>207</v>
      </c>
      <c r="J34" s="2" t="s">
        <v>208</v>
      </c>
      <c r="K34" s="3">
        <v>170679.01</v>
      </c>
      <c r="L34" s="2" t="s">
        <v>30</v>
      </c>
      <c r="M34" s="2" t="s">
        <v>63</v>
      </c>
    </row>
    <row r="35" spans="1:13" x14ac:dyDescent="0.35">
      <c r="A35" s="2" t="s">
        <v>209</v>
      </c>
      <c r="B35" s="2" t="s">
        <v>148</v>
      </c>
      <c r="C35" s="2" t="s">
        <v>137</v>
      </c>
      <c r="D35" s="2" t="s">
        <v>74</v>
      </c>
      <c r="E35" s="3">
        <v>330782.3</v>
      </c>
      <c r="F35" s="3">
        <v>176890.88</v>
      </c>
      <c r="G35" s="2" t="s">
        <v>210</v>
      </c>
      <c r="H35" s="2" t="s">
        <v>211</v>
      </c>
      <c r="I35" s="2" t="s">
        <v>212</v>
      </c>
      <c r="J35" s="2" t="s">
        <v>213</v>
      </c>
      <c r="K35" s="3">
        <v>555000.91</v>
      </c>
      <c r="L35" s="2" t="s">
        <v>135</v>
      </c>
      <c r="M35" s="2" t="s">
        <v>48</v>
      </c>
    </row>
    <row r="36" spans="1:13" x14ac:dyDescent="0.35">
      <c r="A36" s="2" t="s">
        <v>214</v>
      </c>
      <c r="B36" s="2" t="s">
        <v>23</v>
      </c>
      <c r="C36" s="2" t="s">
        <v>50</v>
      </c>
      <c r="D36" s="2" t="s">
        <v>51</v>
      </c>
      <c r="E36" s="3">
        <v>264087.21999999997</v>
      </c>
      <c r="F36" s="3">
        <v>197829.62</v>
      </c>
      <c r="G36" s="2" t="s">
        <v>83</v>
      </c>
      <c r="H36" s="2" t="s">
        <v>215</v>
      </c>
      <c r="I36" s="2" t="s">
        <v>216</v>
      </c>
      <c r="J36" s="2" t="s">
        <v>217</v>
      </c>
      <c r="K36" s="3">
        <v>483254.12</v>
      </c>
      <c r="L36" s="2" t="s">
        <v>71</v>
      </c>
      <c r="M36" s="2"/>
    </row>
    <row r="37" spans="1:13" x14ac:dyDescent="0.35">
      <c r="A37" s="2" t="s">
        <v>218</v>
      </c>
      <c r="B37" s="2" t="s">
        <v>81</v>
      </c>
      <c r="C37" s="2" t="s">
        <v>219</v>
      </c>
      <c r="D37" s="2" t="s">
        <v>16</v>
      </c>
      <c r="E37" s="3">
        <v>309845.84000000003</v>
      </c>
      <c r="F37" s="3">
        <v>56426.14</v>
      </c>
      <c r="G37" s="2" t="s">
        <v>220</v>
      </c>
      <c r="H37" s="2" t="s">
        <v>172</v>
      </c>
      <c r="I37" s="2" t="s">
        <v>221</v>
      </c>
      <c r="J37" s="2" t="s">
        <v>222</v>
      </c>
      <c r="K37" s="3">
        <v>342291.01</v>
      </c>
      <c r="L37" s="2" t="s">
        <v>39</v>
      </c>
      <c r="M37" s="2" t="s">
        <v>96</v>
      </c>
    </row>
    <row r="38" spans="1:13" x14ac:dyDescent="0.35">
      <c r="A38" s="2" t="s">
        <v>223</v>
      </c>
      <c r="B38" s="2" t="s">
        <v>98</v>
      </c>
      <c r="C38" s="2" t="s">
        <v>82</v>
      </c>
      <c r="D38" s="2" t="s">
        <v>25</v>
      </c>
      <c r="E38" s="3">
        <v>117056.53</v>
      </c>
      <c r="F38" s="3">
        <v>121168.58</v>
      </c>
      <c r="G38" s="2" t="s">
        <v>224</v>
      </c>
      <c r="H38" s="2" t="s">
        <v>133</v>
      </c>
      <c r="I38" s="2" t="s">
        <v>225</v>
      </c>
      <c r="J38" s="2" t="s">
        <v>226</v>
      </c>
      <c r="K38" s="3">
        <v>212509.83</v>
      </c>
      <c r="L38" s="2" t="s">
        <v>86</v>
      </c>
      <c r="M38" s="2"/>
    </row>
    <row r="39" spans="1:13" x14ac:dyDescent="0.35">
      <c r="A39" s="2" t="s">
        <v>227</v>
      </c>
      <c r="B39" s="2" t="s">
        <v>23</v>
      </c>
      <c r="C39" s="2" t="s">
        <v>117</v>
      </c>
      <c r="D39" s="2" t="s">
        <v>16</v>
      </c>
      <c r="E39" s="3">
        <v>238172.04</v>
      </c>
      <c r="F39" s="3">
        <v>116000.4</v>
      </c>
      <c r="G39" s="2" t="s">
        <v>228</v>
      </c>
      <c r="H39" s="2" t="s">
        <v>229</v>
      </c>
      <c r="I39" s="2" t="s">
        <v>230</v>
      </c>
      <c r="J39" s="2" t="s">
        <v>231</v>
      </c>
      <c r="K39" s="3">
        <v>315120.31</v>
      </c>
      <c r="L39" s="2" t="s">
        <v>39</v>
      </c>
      <c r="M39" s="2" t="s">
        <v>79</v>
      </c>
    </row>
    <row r="40" spans="1:13" x14ac:dyDescent="0.35">
      <c r="A40" s="2" t="s">
        <v>232</v>
      </c>
      <c r="B40" s="2" t="s">
        <v>58</v>
      </c>
      <c r="C40" s="2" t="s">
        <v>15</v>
      </c>
      <c r="D40" s="2" t="s">
        <v>91</v>
      </c>
      <c r="E40" s="3">
        <v>119618.89</v>
      </c>
      <c r="F40" s="3">
        <v>93565.35</v>
      </c>
      <c r="G40" s="2" t="s">
        <v>233</v>
      </c>
      <c r="H40" s="2" t="s">
        <v>234</v>
      </c>
      <c r="I40" s="2" t="s">
        <v>235</v>
      </c>
      <c r="J40" s="2" t="s">
        <v>236</v>
      </c>
      <c r="K40" s="3">
        <v>191538.52</v>
      </c>
      <c r="L40" s="2" t="s">
        <v>21</v>
      </c>
      <c r="M40" s="2" t="s">
        <v>63</v>
      </c>
    </row>
    <row r="41" spans="1:13" x14ac:dyDescent="0.35">
      <c r="A41" s="2" t="s">
        <v>237</v>
      </c>
      <c r="B41" s="2" t="s">
        <v>98</v>
      </c>
      <c r="C41" s="2" t="s">
        <v>106</v>
      </c>
      <c r="D41" s="2" t="s">
        <v>25</v>
      </c>
      <c r="E41" s="3">
        <v>238731.88</v>
      </c>
      <c r="F41" s="3">
        <v>152969.94</v>
      </c>
      <c r="G41" s="2" t="s">
        <v>238</v>
      </c>
      <c r="H41" s="2" t="s">
        <v>239</v>
      </c>
      <c r="I41" s="2" t="s">
        <v>240</v>
      </c>
      <c r="J41" s="2" t="s">
        <v>183</v>
      </c>
      <c r="K41" s="3">
        <v>436635.86</v>
      </c>
      <c r="L41" s="2" t="s">
        <v>21</v>
      </c>
      <c r="M41" s="2"/>
    </row>
    <row r="42" spans="1:13" x14ac:dyDescent="0.35">
      <c r="A42" s="2" t="s">
        <v>241</v>
      </c>
      <c r="B42" s="2" t="s">
        <v>98</v>
      </c>
      <c r="C42" s="2" t="s">
        <v>33</v>
      </c>
      <c r="D42" s="2" t="s">
        <v>74</v>
      </c>
      <c r="E42" s="3">
        <v>174004.15</v>
      </c>
      <c r="F42" s="3">
        <v>99887.39</v>
      </c>
      <c r="G42" s="2" t="s">
        <v>242</v>
      </c>
      <c r="H42" s="2" t="s">
        <v>243</v>
      </c>
      <c r="I42" s="2" t="s">
        <v>244</v>
      </c>
      <c r="J42" s="2" t="s">
        <v>245</v>
      </c>
      <c r="K42" s="3">
        <v>303787.08</v>
      </c>
      <c r="L42" s="2" t="s">
        <v>56</v>
      </c>
      <c r="M4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A676C-43B6-44EE-A2F4-CC47C211460F}">
  <sheetPr>
    <tabColor rgb="FF7030A0"/>
  </sheetPr>
  <dimension ref="A1:F11"/>
  <sheetViews>
    <sheetView workbookViewId="0">
      <selection activeCell="C16" sqref="C16"/>
    </sheetView>
  </sheetViews>
  <sheetFormatPr defaultRowHeight="14.5" x14ac:dyDescent="0.35"/>
  <cols>
    <col min="1" max="6" width="18.6328125" customWidth="1"/>
    <col min="7" max="7" width="6.26953125" bestFit="1" customWidth="1"/>
  </cols>
  <sheetData>
    <row r="1" spans="1:6" s="4" customFormat="1" x14ac:dyDescent="0.35">
      <c r="A1" s="6" t="s">
        <v>246</v>
      </c>
      <c r="B1" s="6" t="s">
        <v>247</v>
      </c>
      <c r="C1" s="6" t="s">
        <v>248</v>
      </c>
      <c r="D1" s="6" t="s">
        <v>249</v>
      </c>
      <c r="E1" s="6" t="s">
        <v>250</v>
      </c>
      <c r="F1" s="7" t="s">
        <v>251</v>
      </c>
    </row>
    <row r="2" spans="1:6" x14ac:dyDescent="0.35">
      <c r="A2" s="8" t="s">
        <v>118</v>
      </c>
      <c r="B2" s="9">
        <v>1850</v>
      </c>
      <c r="C2" s="10">
        <v>0.12</v>
      </c>
      <c r="D2" s="8" t="s">
        <v>252</v>
      </c>
      <c r="E2" s="8" t="s">
        <v>253</v>
      </c>
      <c r="F2" s="8" t="s">
        <v>254</v>
      </c>
    </row>
    <row r="3" spans="1:6" x14ac:dyDescent="0.35">
      <c r="A3" s="11" t="s">
        <v>16</v>
      </c>
      <c r="B3" s="12">
        <v>2200</v>
      </c>
      <c r="C3" s="13">
        <v>0.15</v>
      </c>
      <c r="D3" s="11" t="s">
        <v>255</v>
      </c>
      <c r="E3" s="11" t="s">
        <v>253</v>
      </c>
      <c r="F3" s="11" t="s">
        <v>256</v>
      </c>
    </row>
    <row r="4" spans="1:6" x14ac:dyDescent="0.35">
      <c r="A4" s="8" t="s">
        <v>42</v>
      </c>
      <c r="B4" s="9">
        <v>2100</v>
      </c>
      <c r="C4" s="10">
        <v>0.14000000000000001</v>
      </c>
      <c r="D4" s="8" t="s">
        <v>257</v>
      </c>
      <c r="E4" s="8" t="s">
        <v>253</v>
      </c>
      <c r="F4" s="8" t="s">
        <v>256</v>
      </c>
    </row>
    <row r="5" spans="1:6" x14ac:dyDescent="0.35">
      <c r="A5" s="11" t="s">
        <v>25</v>
      </c>
      <c r="B5" s="12">
        <v>1950</v>
      </c>
      <c r="C5" s="13">
        <v>0.13</v>
      </c>
      <c r="D5" s="11" t="s">
        <v>258</v>
      </c>
      <c r="E5" s="11" t="s">
        <v>259</v>
      </c>
      <c r="F5" s="11" t="s">
        <v>260</v>
      </c>
    </row>
    <row r="6" spans="1:6" x14ac:dyDescent="0.35">
      <c r="A6" s="8" t="s">
        <v>51</v>
      </c>
      <c r="B6" s="9">
        <v>1800</v>
      </c>
      <c r="C6" s="10">
        <v>0.11</v>
      </c>
      <c r="D6" s="8" t="s">
        <v>261</v>
      </c>
      <c r="E6" s="8" t="s">
        <v>253</v>
      </c>
      <c r="F6" s="8" t="s">
        <v>256</v>
      </c>
    </row>
    <row r="7" spans="1:6" x14ac:dyDescent="0.35">
      <c r="A7" s="11" t="s">
        <v>66</v>
      </c>
      <c r="B7" s="12">
        <v>2400</v>
      </c>
      <c r="C7" s="13">
        <v>0.16</v>
      </c>
      <c r="D7" s="11" t="s">
        <v>262</v>
      </c>
      <c r="E7" s="11" t="s">
        <v>253</v>
      </c>
      <c r="F7" s="11" t="s">
        <v>263</v>
      </c>
    </row>
    <row r="8" spans="1:6" x14ac:dyDescent="0.35">
      <c r="A8" s="8" t="s">
        <v>74</v>
      </c>
      <c r="B8" s="9">
        <v>2050</v>
      </c>
      <c r="C8" s="10">
        <v>0.14000000000000001</v>
      </c>
      <c r="D8" s="8" t="s">
        <v>257</v>
      </c>
      <c r="E8" s="8" t="s">
        <v>259</v>
      </c>
      <c r="F8" s="8" t="s">
        <v>256</v>
      </c>
    </row>
    <row r="9" spans="1:6" x14ac:dyDescent="0.35">
      <c r="A9" s="11" t="s">
        <v>153</v>
      </c>
      <c r="B9" s="12">
        <v>1900</v>
      </c>
      <c r="C9" s="13">
        <v>0.12</v>
      </c>
      <c r="D9" s="11" t="s">
        <v>264</v>
      </c>
      <c r="E9" s="11" t="s">
        <v>253</v>
      </c>
      <c r="F9" s="11" t="s">
        <v>256</v>
      </c>
    </row>
    <row r="10" spans="1:6" x14ac:dyDescent="0.35">
      <c r="A10" s="8" t="s">
        <v>34</v>
      </c>
      <c r="B10" s="9">
        <v>2150</v>
      </c>
      <c r="C10" s="10">
        <v>0.15</v>
      </c>
      <c r="D10" s="8" t="s">
        <v>265</v>
      </c>
      <c r="E10" s="8" t="s">
        <v>259</v>
      </c>
      <c r="F10" s="8" t="s">
        <v>256</v>
      </c>
    </row>
    <row r="11" spans="1:6" x14ac:dyDescent="0.35">
      <c r="A11" s="11" t="s">
        <v>91</v>
      </c>
      <c r="B11" s="12">
        <v>1750</v>
      </c>
      <c r="C11" s="13">
        <v>0.11</v>
      </c>
      <c r="D11" s="11" t="s">
        <v>266</v>
      </c>
      <c r="E11" s="11" t="s">
        <v>253</v>
      </c>
      <c r="F11" s="11" t="s">
        <v>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0A4A0-AC83-4114-AEE5-5AE9EF379F99}">
  <sheetPr>
    <tabColor rgb="FF00B0F0"/>
  </sheetPr>
  <dimension ref="A1:R41"/>
  <sheetViews>
    <sheetView workbookViewId="0">
      <selection activeCell="B41" sqref="B41"/>
    </sheetView>
  </sheetViews>
  <sheetFormatPr defaultColWidth="18.6328125" defaultRowHeight="14.5" x14ac:dyDescent="0.35"/>
  <cols>
    <col min="2" max="2" width="22.1796875" bestFit="1" customWidth="1"/>
    <col min="7" max="8" width="18.6328125" style="16"/>
    <col min="9" max="9" width="18.6328125" style="19"/>
    <col min="10" max="10" width="18.6328125" style="16"/>
  </cols>
  <sheetData>
    <row r="1" spans="1:18" x14ac:dyDescent="0.35">
      <c r="A1" s="5" t="s">
        <v>267</v>
      </c>
      <c r="B1" s="5" t="s">
        <v>1</v>
      </c>
      <c r="C1" s="5" t="s">
        <v>286</v>
      </c>
      <c r="D1" s="5" t="s">
        <v>268</v>
      </c>
      <c r="E1" s="5" t="s">
        <v>4</v>
      </c>
      <c r="F1" s="5" t="s">
        <v>269</v>
      </c>
      <c r="G1" s="14" t="s">
        <v>271</v>
      </c>
      <c r="H1" s="17" t="s">
        <v>272</v>
      </c>
      <c r="I1" s="17" t="s">
        <v>273</v>
      </c>
      <c r="J1" s="14" t="s">
        <v>270</v>
      </c>
      <c r="K1" s="5" t="s">
        <v>10</v>
      </c>
      <c r="L1" s="5" t="s">
        <v>274</v>
      </c>
      <c r="M1" s="5" t="s">
        <v>275</v>
      </c>
      <c r="N1" s="5" t="s">
        <v>276</v>
      </c>
      <c r="O1" s="5" t="s">
        <v>11</v>
      </c>
      <c r="P1" s="5" t="s">
        <v>278</v>
      </c>
      <c r="Q1" s="5" t="s">
        <v>248</v>
      </c>
      <c r="R1" s="5" t="s">
        <v>277</v>
      </c>
    </row>
    <row r="2" spans="1:18" x14ac:dyDescent="0.35">
      <c r="A2" s="2" t="s">
        <v>13</v>
      </c>
      <c r="B2" s="2" t="s">
        <v>14</v>
      </c>
      <c r="C2" s="23" t="s">
        <v>219</v>
      </c>
      <c r="D2" s="2" t="s">
        <v>16</v>
      </c>
      <c r="E2" s="3">
        <v>58753.760000000002</v>
      </c>
      <c r="F2" s="3">
        <v>76754.98</v>
      </c>
      <c r="G2" s="15" t="s">
        <v>17</v>
      </c>
      <c r="H2" s="15">
        <v>44958</v>
      </c>
      <c r="I2" s="18">
        <v>45016</v>
      </c>
      <c r="J2" s="15">
        <v>45011</v>
      </c>
      <c r="K2" s="3">
        <v>124256.53</v>
      </c>
      <c r="L2">
        <f>E2+F2</f>
        <v>135508.74</v>
      </c>
      <c r="M2" s="21">
        <f>L2-K2</f>
        <v>11252.209999999992</v>
      </c>
      <c r="N2" s="20">
        <f>M2/K2</f>
        <v>9.0556287061935428E-2</v>
      </c>
      <c r="O2" s="2" t="s">
        <v>280</v>
      </c>
      <c r="P2">
        <f>VLOOKUP('3_Cleaned_Data'!D2,'2_Contractor_Rates'!$A:$B,2,0)</f>
        <v>2200</v>
      </c>
      <c r="Q2" s="20">
        <f>INDEX('2_Contractor_Rates'!$C:$C,MATCH(D2,'2_Contractor_Rates'!$A:$A,0))</f>
        <v>0.15</v>
      </c>
      <c r="R2">
        <f>J2-I2</f>
        <v>-5</v>
      </c>
    </row>
    <row r="3" spans="1:18" x14ac:dyDescent="0.35">
      <c r="A3" s="2" t="s">
        <v>22</v>
      </c>
      <c r="B3" s="2" t="s">
        <v>23</v>
      </c>
      <c r="C3" s="23" t="s">
        <v>24</v>
      </c>
      <c r="D3" s="2" t="s">
        <v>25</v>
      </c>
      <c r="E3" s="3">
        <v>142965.07999999999</v>
      </c>
      <c r="F3" s="3">
        <v>52249.31</v>
      </c>
      <c r="G3" s="15" t="s">
        <v>26</v>
      </c>
      <c r="H3" s="15">
        <v>45013</v>
      </c>
      <c r="I3" s="18">
        <v>45052</v>
      </c>
      <c r="J3" s="15">
        <v>45042</v>
      </c>
      <c r="K3" s="3">
        <v>203735.54</v>
      </c>
      <c r="L3">
        <f t="shared" ref="L3:L41" si="0">E3+F3</f>
        <v>195214.38999999998</v>
      </c>
      <c r="M3" s="21">
        <f t="shared" ref="M3:M41" si="1">L3-K3</f>
        <v>-8521.1500000000233</v>
      </c>
      <c r="N3" s="20">
        <f t="shared" ref="N3:N41" si="2">M3/K3</f>
        <v>-4.1824563353060652E-2</v>
      </c>
      <c r="O3" s="2" t="s">
        <v>280</v>
      </c>
      <c r="P3">
        <f>VLOOKUP('3_Cleaned_Data'!D3,'2_Contractor_Rates'!$A:$B,2,0)</f>
        <v>1950</v>
      </c>
      <c r="Q3" s="20">
        <f>INDEX('2_Contractor_Rates'!$C:$C,MATCH(D3,'2_Contractor_Rates'!$A:$A,0))</f>
        <v>0.13</v>
      </c>
      <c r="R3">
        <f t="shared" ref="R3:R41" si="3">J3-I3</f>
        <v>-10</v>
      </c>
    </row>
    <row r="4" spans="1:18" x14ac:dyDescent="0.35">
      <c r="A4" s="2" t="s">
        <v>31</v>
      </c>
      <c r="B4" s="2" t="s">
        <v>32</v>
      </c>
      <c r="C4" s="23" t="s">
        <v>33</v>
      </c>
      <c r="D4" s="2" t="s">
        <v>34</v>
      </c>
      <c r="E4" s="3">
        <v>137994.94</v>
      </c>
      <c r="F4" s="3">
        <v>124048.4</v>
      </c>
      <c r="G4" s="15" t="s">
        <v>35</v>
      </c>
      <c r="H4" s="15">
        <v>45089</v>
      </c>
      <c r="I4" s="18">
        <v>45118</v>
      </c>
      <c r="J4" s="15">
        <v>45142</v>
      </c>
      <c r="K4" s="3">
        <v>296824.15999999997</v>
      </c>
      <c r="L4">
        <f t="shared" si="0"/>
        <v>262043.34</v>
      </c>
      <c r="M4" s="21">
        <f t="shared" si="1"/>
        <v>-34780.819999999978</v>
      </c>
      <c r="N4" s="20">
        <f t="shared" si="2"/>
        <v>-0.11717651285528773</v>
      </c>
      <c r="O4" s="2" t="s">
        <v>279</v>
      </c>
      <c r="P4">
        <f>VLOOKUP('3_Cleaned_Data'!D4,'2_Contractor_Rates'!$A:$B,2,0)</f>
        <v>2150</v>
      </c>
      <c r="Q4" s="20">
        <f>INDEX('2_Contractor_Rates'!$C:$C,MATCH(D4,'2_Contractor_Rates'!$A:$A,0))</f>
        <v>0.15</v>
      </c>
      <c r="R4">
        <f t="shared" si="3"/>
        <v>24</v>
      </c>
    </row>
    <row r="5" spans="1:18" x14ac:dyDescent="0.35">
      <c r="A5" s="2" t="s">
        <v>40</v>
      </c>
      <c r="B5" s="2" t="s">
        <v>41</v>
      </c>
      <c r="C5" s="23" t="s">
        <v>24</v>
      </c>
      <c r="D5" s="2" t="s">
        <v>42</v>
      </c>
      <c r="E5" s="3">
        <v>179563.34</v>
      </c>
      <c r="F5" s="3">
        <v>65616.2</v>
      </c>
      <c r="G5" s="15" t="s">
        <v>43</v>
      </c>
      <c r="H5" s="15">
        <v>45026</v>
      </c>
      <c r="I5" s="18">
        <v>45055</v>
      </c>
      <c r="J5" s="15">
        <v>45083</v>
      </c>
      <c r="K5" s="3">
        <v>228039.86</v>
      </c>
      <c r="L5">
        <f t="shared" si="0"/>
        <v>245179.53999999998</v>
      </c>
      <c r="M5" s="21">
        <f t="shared" si="1"/>
        <v>17139.679999999993</v>
      </c>
      <c r="N5" s="20">
        <f t="shared" si="2"/>
        <v>7.5160895117195717E-2</v>
      </c>
      <c r="O5" s="2" t="s">
        <v>161</v>
      </c>
      <c r="P5">
        <f>VLOOKUP('3_Cleaned_Data'!D5,'2_Contractor_Rates'!$A:$B,2,0)</f>
        <v>2100</v>
      </c>
      <c r="Q5" s="20">
        <f>INDEX('2_Contractor_Rates'!$C:$C,MATCH(D5,'2_Contractor_Rates'!$A:$A,0))</f>
        <v>0.14000000000000001</v>
      </c>
      <c r="R5">
        <f t="shared" si="3"/>
        <v>28</v>
      </c>
    </row>
    <row r="6" spans="1:18" x14ac:dyDescent="0.35">
      <c r="A6" s="2" t="s">
        <v>49</v>
      </c>
      <c r="B6" s="2" t="s">
        <v>41</v>
      </c>
      <c r="C6" s="23" t="s">
        <v>65</v>
      </c>
      <c r="D6" s="2" t="s">
        <v>51</v>
      </c>
      <c r="E6" s="3">
        <v>73166.009999999995</v>
      </c>
      <c r="F6" s="3">
        <v>185233.14</v>
      </c>
      <c r="G6" s="15" t="s">
        <v>52</v>
      </c>
      <c r="H6" s="15">
        <v>45127</v>
      </c>
      <c r="I6" s="18">
        <v>45197</v>
      </c>
      <c r="J6" s="15">
        <v>45212</v>
      </c>
      <c r="K6" s="3">
        <v>263606.93</v>
      </c>
      <c r="L6">
        <f t="shared" si="0"/>
        <v>258399.15000000002</v>
      </c>
      <c r="M6" s="21">
        <f t="shared" si="1"/>
        <v>-5207.7799999999697</v>
      </c>
      <c r="N6" s="20">
        <f t="shared" si="2"/>
        <v>-1.9755853914766086E-2</v>
      </c>
      <c r="O6" s="2" t="s">
        <v>280</v>
      </c>
      <c r="P6">
        <f>VLOOKUP('3_Cleaned_Data'!D6,'2_Contractor_Rates'!$A:$B,2,0)</f>
        <v>1800</v>
      </c>
      <c r="Q6" s="20">
        <f>INDEX('2_Contractor_Rates'!$C:$C,MATCH(D6,'2_Contractor_Rates'!$A:$A,0))</f>
        <v>0.11</v>
      </c>
      <c r="R6">
        <f t="shared" si="3"/>
        <v>15</v>
      </c>
    </row>
    <row r="7" spans="1:18" x14ac:dyDescent="0.35">
      <c r="A7" s="2" t="s">
        <v>57</v>
      </c>
      <c r="B7" s="2" t="s">
        <v>58</v>
      </c>
      <c r="C7" s="23" t="s">
        <v>33</v>
      </c>
      <c r="D7" s="2" t="s">
        <v>34</v>
      </c>
      <c r="E7" s="3">
        <v>107794.44</v>
      </c>
      <c r="F7" s="3">
        <v>119704.54</v>
      </c>
      <c r="G7" s="15" t="s">
        <v>59</v>
      </c>
      <c r="H7" s="15">
        <v>45076</v>
      </c>
      <c r="I7" s="18">
        <v>45116</v>
      </c>
      <c r="J7" s="15">
        <v>45125</v>
      </c>
      <c r="K7" s="3">
        <v>234773.98</v>
      </c>
      <c r="L7">
        <f t="shared" si="0"/>
        <v>227498.97999999998</v>
      </c>
      <c r="M7" s="21">
        <f t="shared" si="1"/>
        <v>-7275.0000000000291</v>
      </c>
      <c r="N7" s="20">
        <f t="shared" si="2"/>
        <v>-3.0987249949930691E-2</v>
      </c>
      <c r="O7" s="2" t="s">
        <v>280</v>
      </c>
      <c r="P7">
        <f>VLOOKUP('3_Cleaned_Data'!D7,'2_Contractor_Rates'!$A:$B,2,0)</f>
        <v>2150</v>
      </c>
      <c r="Q7" s="20">
        <f>INDEX('2_Contractor_Rates'!$C:$C,MATCH(D7,'2_Contractor_Rates'!$A:$A,0))</f>
        <v>0.15</v>
      </c>
      <c r="R7">
        <f t="shared" si="3"/>
        <v>9</v>
      </c>
    </row>
    <row r="8" spans="1:18" x14ac:dyDescent="0.35">
      <c r="A8" s="2" t="s">
        <v>64</v>
      </c>
      <c r="B8" s="2" t="s">
        <v>14</v>
      </c>
      <c r="C8" s="23" t="s">
        <v>65</v>
      </c>
      <c r="D8" s="2" t="s">
        <v>66</v>
      </c>
      <c r="E8" s="3">
        <v>346623.03</v>
      </c>
      <c r="F8" s="3">
        <v>132633.43</v>
      </c>
      <c r="G8" s="15" t="s">
        <v>67</v>
      </c>
      <c r="H8" s="15">
        <v>45140</v>
      </c>
      <c r="I8" s="18">
        <v>45175</v>
      </c>
      <c r="J8" s="15">
        <v>45189</v>
      </c>
      <c r="K8" s="3">
        <v>523414.42</v>
      </c>
      <c r="L8">
        <f t="shared" si="0"/>
        <v>479256.46</v>
      </c>
      <c r="M8" s="21">
        <f t="shared" si="1"/>
        <v>-44157.959999999963</v>
      </c>
      <c r="N8" s="20">
        <f t="shared" si="2"/>
        <v>-8.436519574680415E-2</v>
      </c>
      <c r="O8" s="2" t="s">
        <v>135</v>
      </c>
      <c r="P8">
        <f>VLOOKUP('3_Cleaned_Data'!D8,'2_Contractor_Rates'!$A:$B,2,0)</f>
        <v>2400</v>
      </c>
      <c r="Q8" s="20">
        <f>INDEX('2_Contractor_Rates'!$C:$C,MATCH(D8,'2_Contractor_Rates'!$A:$A,0))</f>
        <v>0.16</v>
      </c>
      <c r="R8">
        <f t="shared" si="3"/>
        <v>14</v>
      </c>
    </row>
    <row r="9" spans="1:18" x14ac:dyDescent="0.35">
      <c r="A9" s="2" t="s">
        <v>72</v>
      </c>
      <c r="B9" s="2" t="s">
        <v>73</v>
      </c>
      <c r="C9" s="23" t="s">
        <v>24</v>
      </c>
      <c r="D9" s="2" t="s">
        <v>74</v>
      </c>
      <c r="E9" s="3">
        <v>365855</v>
      </c>
      <c r="F9" s="3">
        <v>57988.31</v>
      </c>
      <c r="G9" s="15" t="s">
        <v>75</v>
      </c>
      <c r="H9" s="15">
        <v>45010</v>
      </c>
      <c r="I9" s="18">
        <v>45076</v>
      </c>
      <c r="J9" s="15">
        <v>45084</v>
      </c>
      <c r="K9" s="3">
        <v>360540.88</v>
      </c>
      <c r="L9">
        <f t="shared" si="0"/>
        <v>423843.31</v>
      </c>
      <c r="M9" s="21">
        <f t="shared" si="1"/>
        <v>63302.429999999993</v>
      </c>
      <c r="N9" s="20">
        <f t="shared" si="2"/>
        <v>0.17557628971227893</v>
      </c>
      <c r="O9" s="2" t="s">
        <v>280</v>
      </c>
      <c r="P9">
        <f>VLOOKUP('3_Cleaned_Data'!D9,'2_Contractor_Rates'!$A:$B,2,0)</f>
        <v>2050</v>
      </c>
      <c r="Q9" s="20">
        <f>INDEX('2_Contractor_Rates'!$C:$C,MATCH(D9,'2_Contractor_Rates'!$A:$A,0))</f>
        <v>0.14000000000000001</v>
      </c>
      <c r="R9">
        <f t="shared" si="3"/>
        <v>8</v>
      </c>
    </row>
    <row r="10" spans="1:18" x14ac:dyDescent="0.35">
      <c r="A10" s="2" t="s">
        <v>80</v>
      </c>
      <c r="B10" s="2" t="s">
        <v>81</v>
      </c>
      <c r="C10" s="23" t="s">
        <v>65</v>
      </c>
      <c r="D10" s="2" t="s">
        <v>51</v>
      </c>
      <c r="E10" s="3">
        <v>177628.03</v>
      </c>
      <c r="F10" s="3">
        <v>188624.96</v>
      </c>
      <c r="G10" s="15" t="s">
        <v>83</v>
      </c>
      <c r="H10" s="15">
        <v>45127</v>
      </c>
      <c r="I10" s="18">
        <v>45174</v>
      </c>
      <c r="J10" s="15">
        <v>45179</v>
      </c>
      <c r="K10" s="3">
        <v>418135.98</v>
      </c>
      <c r="L10">
        <f t="shared" si="0"/>
        <v>366252.99</v>
      </c>
      <c r="M10" s="21">
        <f t="shared" si="1"/>
        <v>-51882.989999999991</v>
      </c>
      <c r="N10" s="20">
        <f t="shared" si="2"/>
        <v>-0.1240816205292833</v>
      </c>
      <c r="O10" s="2" t="s">
        <v>135</v>
      </c>
      <c r="P10">
        <f>VLOOKUP('3_Cleaned_Data'!D10,'2_Contractor_Rates'!$A:$B,2,0)</f>
        <v>1800</v>
      </c>
      <c r="Q10" s="20">
        <f>INDEX('2_Contractor_Rates'!$C:$C,MATCH(D10,'2_Contractor_Rates'!$A:$A,0))</f>
        <v>0.11</v>
      </c>
      <c r="R10">
        <f t="shared" si="3"/>
        <v>5</v>
      </c>
    </row>
    <row r="11" spans="1:18" x14ac:dyDescent="0.35">
      <c r="A11" s="2" t="s">
        <v>88</v>
      </c>
      <c r="B11" s="2" t="s">
        <v>89</v>
      </c>
      <c r="C11" s="23" t="s">
        <v>33</v>
      </c>
      <c r="D11" s="2" t="s">
        <v>91</v>
      </c>
      <c r="E11" s="3">
        <v>159870.48000000001</v>
      </c>
      <c r="F11" s="3">
        <v>174162.6</v>
      </c>
      <c r="G11" s="15" t="s">
        <v>92</v>
      </c>
      <c r="H11" s="15">
        <v>45076</v>
      </c>
      <c r="I11" s="18">
        <v>45124</v>
      </c>
      <c r="J11" s="15">
        <v>45140</v>
      </c>
      <c r="K11" s="3">
        <v>356054.64</v>
      </c>
      <c r="L11">
        <f t="shared" si="0"/>
        <v>334033.08</v>
      </c>
      <c r="M11" s="21">
        <f t="shared" si="1"/>
        <v>-22021.559999999998</v>
      </c>
      <c r="N11" s="20">
        <f t="shared" si="2"/>
        <v>-6.1848821854982701E-2</v>
      </c>
      <c r="O11" s="2" t="s">
        <v>279</v>
      </c>
      <c r="P11">
        <f>VLOOKUP('3_Cleaned_Data'!D11,'2_Contractor_Rates'!$A:$B,2,0)</f>
        <v>1750</v>
      </c>
      <c r="Q11" s="20">
        <f>INDEX('2_Contractor_Rates'!$C:$C,MATCH(D11,'2_Contractor_Rates'!$A:$A,0))</f>
        <v>0.11</v>
      </c>
      <c r="R11">
        <f t="shared" si="3"/>
        <v>16</v>
      </c>
    </row>
    <row r="12" spans="1:18" x14ac:dyDescent="0.35">
      <c r="A12" s="2" t="s">
        <v>97</v>
      </c>
      <c r="B12" s="2" t="s">
        <v>98</v>
      </c>
      <c r="C12" s="23" t="s">
        <v>219</v>
      </c>
      <c r="D12" s="2" t="s">
        <v>16</v>
      </c>
      <c r="E12" s="3">
        <v>297744.33</v>
      </c>
      <c r="F12" s="3">
        <v>40008.54</v>
      </c>
      <c r="G12" s="15" t="s">
        <v>100</v>
      </c>
      <c r="H12" s="15">
        <v>44946</v>
      </c>
      <c r="I12" s="18">
        <v>44985</v>
      </c>
      <c r="J12" s="15">
        <v>45007</v>
      </c>
      <c r="K12" s="3">
        <v>293919.34000000003</v>
      </c>
      <c r="L12">
        <f t="shared" si="0"/>
        <v>337752.87</v>
      </c>
      <c r="M12" s="21">
        <f t="shared" si="1"/>
        <v>43833.52999999997</v>
      </c>
      <c r="N12" s="20">
        <f t="shared" si="2"/>
        <v>0.14913455507895454</v>
      </c>
      <c r="O12" s="2" t="s">
        <v>161</v>
      </c>
      <c r="P12">
        <f>VLOOKUP('3_Cleaned_Data'!D12,'2_Contractor_Rates'!$A:$B,2,0)</f>
        <v>2200</v>
      </c>
      <c r="Q12" s="20">
        <f>INDEX('2_Contractor_Rates'!$C:$C,MATCH(D12,'2_Contractor_Rates'!$A:$A,0))</f>
        <v>0.15</v>
      </c>
      <c r="R12">
        <f t="shared" si="3"/>
        <v>22</v>
      </c>
    </row>
    <row r="13" spans="1:18" x14ac:dyDescent="0.35">
      <c r="A13" s="2" t="s">
        <v>105</v>
      </c>
      <c r="B13" s="2" t="s">
        <v>58</v>
      </c>
      <c r="C13" s="23" t="s">
        <v>24</v>
      </c>
      <c r="D13" s="2" t="s">
        <v>51</v>
      </c>
      <c r="E13" s="3">
        <v>133808.31</v>
      </c>
      <c r="F13" s="3">
        <v>70948.17</v>
      </c>
      <c r="G13" s="15" t="s">
        <v>107</v>
      </c>
      <c r="H13" s="15">
        <v>44999</v>
      </c>
      <c r="I13" s="18">
        <v>45073</v>
      </c>
      <c r="J13" s="15">
        <v>45067</v>
      </c>
      <c r="K13" s="3">
        <v>208894.01</v>
      </c>
      <c r="L13">
        <f t="shared" si="0"/>
        <v>204756.47999999998</v>
      </c>
      <c r="M13" s="21">
        <f t="shared" si="1"/>
        <v>-4137.5300000000279</v>
      </c>
      <c r="N13" s="20">
        <f t="shared" si="2"/>
        <v>-1.980683888446599E-2</v>
      </c>
      <c r="O13" s="2" t="s">
        <v>161</v>
      </c>
      <c r="P13">
        <f>VLOOKUP('3_Cleaned_Data'!D13,'2_Contractor_Rates'!$A:$B,2,0)</f>
        <v>1800</v>
      </c>
      <c r="Q13" s="20">
        <f>INDEX('2_Contractor_Rates'!$C:$C,MATCH(D13,'2_Contractor_Rates'!$A:$A,0))</f>
        <v>0.11</v>
      </c>
      <c r="R13">
        <f t="shared" si="3"/>
        <v>-6</v>
      </c>
    </row>
    <row r="14" spans="1:18" x14ac:dyDescent="0.35">
      <c r="A14" s="2" t="s">
        <v>111</v>
      </c>
      <c r="B14" s="2" t="s">
        <v>32</v>
      </c>
      <c r="C14" s="23" t="s">
        <v>65</v>
      </c>
      <c r="D14" s="2" t="s">
        <v>51</v>
      </c>
      <c r="E14" s="3">
        <v>202167.84</v>
      </c>
      <c r="F14" s="3">
        <v>107133.03</v>
      </c>
      <c r="G14" s="15" t="s">
        <v>112</v>
      </c>
      <c r="H14" s="15">
        <v>45136</v>
      </c>
      <c r="I14" s="18">
        <v>45176</v>
      </c>
      <c r="J14" s="15">
        <v>45198</v>
      </c>
      <c r="K14" s="3">
        <v>351410.57</v>
      </c>
      <c r="L14">
        <f t="shared" si="0"/>
        <v>309300.87</v>
      </c>
      <c r="M14" s="21">
        <f t="shared" si="1"/>
        <v>-42109.700000000012</v>
      </c>
      <c r="N14" s="20">
        <f t="shared" si="2"/>
        <v>-0.11983048773973991</v>
      </c>
      <c r="O14" s="2" t="s">
        <v>135</v>
      </c>
      <c r="P14">
        <f>VLOOKUP('3_Cleaned_Data'!D14,'2_Contractor_Rates'!$A:$B,2,0)</f>
        <v>1800</v>
      </c>
      <c r="Q14" s="20">
        <f>INDEX('2_Contractor_Rates'!$C:$C,MATCH(D14,'2_Contractor_Rates'!$A:$A,0))</f>
        <v>0.11</v>
      </c>
      <c r="R14">
        <f t="shared" si="3"/>
        <v>22</v>
      </c>
    </row>
    <row r="15" spans="1:18" x14ac:dyDescent="0.35">
      <c r="A15" s="2" t="s">
        <v>116</v>
      </c>
      <c r="B15" s="2" t="s">
        <v>14</v>
      </c>
      <c r="C15" s="23" t="s">
        <v>33</v>
      </c>
      <c r="D15" s="2" t="s">
        <v>118</v>
      </c>
      <c r="E15" s="3">
        <v>315582.58</v>
      </c>
      <c r="F15" s="3">
        <v>57142.080000000002</v>
      </c>
      <c r="G15" s="15" t="s">
        <v>92</v>
      </c>
      <c r="H15" s="15">
        <v>45064</v>
      </c>
      <c r="I15" s="18">
        <v>45118</v>
      </c>
      <c r="J15" s="15">
        <v>45129</v>
      </c>
      <c r="K15" s="3">
        <v>364071.6</v>
      </c>
      <c r="L15">
        <f t="shared" si="0"/>
        <v>372724.66000000003</v>
      </c>
      <c r="M15" s="21">
        <f t="shared" si="1"/>
        <v>8653.0600000000559</v>
      </c>
      <c r="N15" s="20">
        <f t="shared" si="2"/>
        <v>2.3767467717888614E-2</v>
      </c>
      <c r="O15" s="2" t="s">
        <v>135</v>
      </c>
      <c r="P15">
        <f>VLOOKUP('3_Cleaned_Data'!D15,'2_Contractor_Rates'!$A:$B,2,0)</f>
        <v>1850</v>
      </c>
      <c r="Q15" s="20">
        <f>INDEX('2_Contractor_Rates'!$C:$C,MATCH(D15,'2_Contractor_Rates'!$A:$A,0))</f>
        <v>0.12</v>
      </c>
      <c r="R15">
        <f t="shared" si="3"/>
        <v>11</v>
      </c>
    </row>
    <row r="16" spans="1:18" x14ac:dyDescent="0.35">
      <c r="A16" s="2" t="s">
        <v>121</v>
      </c>
      <c r="B16" s="2" t="s">
        <v>89</v>
      </c>
      <c r="C16" s="23" t="s">
        <v>219</v>
      </c>
      <c r="D16" s="2" t="s">
        <v>118</v>
      </c>
      <c r="E16" s="3">
        <v>87940.89</v>
      </c>
      <c r="F16" s="3">
        <v>103875.84</v>
      </c>
      <c r="G16" s="15" t="s">
        <v>122</v>
      </c>
      <c r="H16" s="15">
        <v>44954</v>
      </c>
      <c r="I16" s="18">
        <v>45024</v>
      </c>
      <c r="J16" s="15">
        <v>45046</v>
      </c>
      <c r="K16" s="3">
        <v>204968.36</v>
      </c>
      <c r="L16">
        <f t="shared" si="0"/>
        <v>191816.72999999998</v>
      </c>
      <c r="M16" s="21">
        <f t="shared" si="1"/>
        <v>-13151.630000000005</v>
      </c>
      <c r="N16" s="20">
        <f t="shared" si="2"/>
        <v>-6.4164195878817623E-2</v>
      </c>
      <c r="O16" s="2" t="s">
        <v>135</v>
      </c>
      <c r="P16">
        <f>VLOOKUP('3_Cleaned_Data'!D16,'2_Contractor_Rates'!$A:$B,2,0)</f>
        <v>1850</v>
      </c>
      <c r="Q16" s="20">
        <f>INDEX('2_Contractor_Rates'!$C:$C,MATCH(D16,'2_Contractor_Rates'!$A:$A,0))</f>
        <v>0.12</v>
      </c>
      <c r="R16">
        <f t="shared" si="3"/>
        <v>22</v>
      </c>
    </row>
    <row r="17" spans="1:18" x14ac:dyDescent="0.35">
      <c r="A17" s="2" t="s">
        <v>125</v>
      </c>
      <c r="B17" s="2" t="s">
        <v>41</v>
      </c>
      <c r="C17" s="23" t="s">
        <v>33</v>
      </c>
      <c r="D17" s="2" t="s">
        <v>42</v>
      </c>
      <c r="E17" s="3">
        <v>211791.07</v>
      </c>
      <c r="F17" s="3">
        <v>75891.13</v>
      </c>
      <c r="G17" s="15" t="s">
        <v>126</v>
      </c>
      <c r="H17" s="15">
        <v>45071</v>
      </c>
      <c r="I17" s="18">
        <v>45129</v>
      </c>
      <c r="J17" s="15">
        <v>45122</v>
      </c>
      <c r="K17" s="3">
        <v>324395.44</v>
      </c>
      <c r="L17">
        <f t="shared" si="0"/>
        <v>287682.2</v>
      </c>
      <c r="M17" s="21">
        <f t="shared" si="1"/>
        <v>-36713.239999999991</v>
      </c>
      <c r="N17" s="20">
        <f t="shared" si="2"/>
        <v>-0.11317434055176605</v>
      </c>
      <c r="O17" s="2" t="s">
        <v>161</v>
      </c>
      <c r="P17">
        <f>VLOOKUP('3_Cleaned_Data'!D17,'2_Contractor_Rates'!$A:$B,2,0)</f>
        <v>2100</v>
      </c>
      <c r="Q17" s="20">
        <f>INDEX('2_Contractor_Rates'!$C:$C,MATCH(D17,'2_Contractor_Rates'!$A:$A,0))</f>
        <v>0.14000000000000001</v>
      </c>
      <c r="R17">
        <f t="shared" si="3"/>
        <v>-7</v>
      </c>
    </row>
    <row r="18" spans="1:18" x14ac:dyDescent="0.35">
      <c r="A18" s="2" t="s">
        <v>131</v>
      </c>
      <c r="B18" s="2" t="s">
        <v>73</v>
      </c>
      <c r="C18" s="23" t="s">
        <v>65</v>
      </c>
      <c r="D18" s="2" t="s">
        <v>34</v>
      </c>
      <c r="E18" s="3">
        <v>371785.5</v>
      </c>
      <c r="F18" s="3">
        <v>120291.44</v>
      </c>
      <c r="G18" s="15" t="s">
        <v>132</v>
      </c>
      <c r="H18" s="15">
        <v>45126</v>
      </c>
      <c r="I18" s="18">
        <v>45180</v>
      </c>
      <c r="J18" s="15">
        <v>45174</v>
      </c>
      <c r="K18" s="3">
        <v>426662.14</v>
      </c>
      <c r="L18">
        <f t="shared" si="0"/>
        <v>492076.94</v>
      </c>
      <c r="M18" s="21">
        <f t="shared" si="1"/>
        <v>65414.799999999988</v>
      </c>
      <c r="N18" s="20">
        <f t="shared" si="2"/>
        <v>0.15331756410353162</v>
      </c>
      <c r="O18" s="2" t="s">
        <v>135</v>
      </c>
      <c r="P18">
        <f>VLOOKUP('3_Cleaned_Data'!D18,'2_Contractor_Rates'!$A:$B,2,0)</f>
        <v>2150</v>
      </c>
      <c r="Q18" s="20">
        <f>INDEX('2_Contractor_Rates'!$C:$C,MATCH(D18,'2_Contractor_Rates'!$A:$A,0))</f>
        <v>0.15</v>
      </c>
      <c r="R18">
        <f t="shared" si="3"/>
        <v>-6</v>
      </c>
    </row>
    <row r="19" spans="1:18" x14ac:dyDescent="0.35">
      <c r="A19" s="2" t="s">
        <v>136</v>
      </c>
      <c r="B19" s="2" t="s">
        <v>32</v>
      </c>
      <c r="C19" s="23" t="s">
        <v>24</v>
      </c>
      <c r="D19" s="2" t="s">
        <v>16</v>
      </c>
      <c r="E19" s="3">
        <v>314523.76</v>
      </c>
      <c r="F19" s="3">
        <v>176387.49</v>
      </c>
      <c r="G19" s="15" t="s">
        <v>138</v>
      </c>
      <c r="H19" s="15">
        <v>45023</v>
      </c>
      <c r="I19" s="18">
        <v>45070</v>
      </c>
      <c r="J19" s="15">
        <v>45098</v>
      </c>
      <c r="K19" s="3">
        <v>439784.02</v>
      </c>
      <c r="L19">
        <f t="shared" si="0"/>
        <v>490911.25</v>
      </c>
      <c r="M19" s="21">
        <f t="shared" si="1"/>
        <v>51127.229999999981</v>
      </c>
      <c r="N19" s="20">
        <f t="shared" si="2"/>
        <v>0.11625531550691628</v>
      </c>
      <c r="O19" s="2" t="s">
        <v>135</v>
      </c>
      <c r="P19">
        <f>VLOOKUP('3_Cleaned_Data'!D19,'2_Contractor_Rates'!$A:$B,2,0)</f>
        <v>2200</v>
      </c>
      <c r="Q19" s="20">
        <f>INDEX('2_Contractor_Rates'!$C:$C,MATCH(D19,'2_Contractor_Rates'!$A:$A,0))</f>
        <v>0.15</v>
      </c>
      <c r="R19">
        <f t="shared" si="3"/>
        <v>28</v>
      </c>
    </row>
    <row r="20" spans="1:18" x14ac:dyDescent="0.35">
      <c r="A20" s="2" t="s">
        <v>142</v>
      </c>
      <c r="B20" s="2" t="s">
        <v>89</v>
      </c>
      <c r="C20" s="23" t="s">
        <v>65</v>
      </c>
      <c r="D20" s="2" t="s">
        <v>34</v>
      </c>
      <c r="E20" s="3">
        <v>94550.73</v>
      </c>
      <c r="F20" s="3">
        <v>101475.88</v>
      </c>
      <c r="G20" s="15" t="s">
        <v>143</v>
      </c>
      <c r="H20" s="15">
        <v>45149</v>
      </c>
      <c r="I20" s="18">
        <v>45182</v>
      </c>
      <c r="J20" s="15">
        <v>45211</v>
      </c>
      <c r="K20" s="3">
        <v>221923.51</v>
      </c>
      <c r="L20">
        <f t="shared" si="0"/>
        <v>196026.61</v>
      </c>
      <c r="M20" s="21">
        <f t="shared" si="1"/>
        <v>-25896.900000000023</v>
      </c>
      <c r="N20" s="20">
        <f t="shared" si="2"/>
        <v>-0.11669290919200054</v>
      </c>
      <c r="O20" s="2" t="s">
        <v>279</v>
      </c>
      <c r="P20">
        <f>VLOOKUP('3_Cleaned_Data'!D20,'2_Contractor_Rates'!$A:$B,2,0)</f>
        <v>2150</v>
      </c>
      <c r="Q20" s="20">
        <f>INDEX('2_Contractor_Rates'!$C:$C,MATCH(D20,'2_Contractor_Rates'!$A:$A,0))</f>
        <v>0.15</v>
      </c>
      <c r="R20">
        <f t="shared" si="3"/>
        <v>29</v>
      </c>
    </row>
    <row r="21" spans="1:18" x14ac:dyDescent="0.35">
      <c r="A21" s="2" t="s">
        <v>147</v>
      </c>
      <c r="B21" s="2" t="s">
        <v>148</v>
      </c>
      <c r="C21" s="23" t="s">
        <v>65</v>
      </c>
      <c r="D21" s="2" t="s">
        <v>66</v>
      </c>
      <c r="E21" s="3">
        <v>274518.61</v>
      </c>
      <c r="F21" s="3">
        <v>97945.33</v>
      </c>
      <c r="G21" s="15" t="s">
        <v>132</v>
      </c>
      <c r="H21" s="15">
        <v>45134</v>
      </c>
      <c r="I21" s="18">
        <v>45170</v>
      </c>
      <c r="J21" s="15">
        <v>45167</v>
      </c>
      <c r="K21" s="3">
        <v>426227.21</v>
      </c>
      <c r="L21">
        <f t="shared" si="0"/>
        <v>372463.94</v>
      </c>
      <c r="M21" s="21">
        <f t="shared" si="1"/>
        <v>-53763.270000000019</v>
      </c>
      <c r="N21" s="20">
        <f t="shared" si="2"/>
        <v>-0.12613758281645138</v>
      </c>
      <c r="O21" s="2" t="s">
        <v>279</v>
      </c>
      <c r="P21">
        <f>VLOOKUP('3_Cleaned_Data'!D21,'2_Contractor_Rates'!$A:$B,2,0)</f>
        <v>2400</v>
      </c>
      <c r="Q21" s="20">
        <f>INDEX('2_Contractor_Rates'!$C:$C,MATCH(D21,'2_Contractor_Rates'!$A:$A,0))</f>
        <v>0.16</v>
      </c>
      <c r="R21">
        <f t="shared" si="3"/>
        <v>-3</v>
      </c>
    </row>
    <row r="22" spans="1:18" x14ac:dyDescent="0.35">
      <c r="A22" s="2" t="s">
        <v>152</v>
      </c>
      <c r="B22" s="2" t="s">
        <v>148</v>
      </c>
      <c r="C22" s="23" t="s">
        <v>33</v>
      </c>
      <c r="D22" s="2" t="s">
        <v>153</v>
      </c>
      <c r="E22" s="3">
        <v>172380.45</v>
      </c>
      <c r="F22" s="3">
        <v>169491.18</v>
      </c>
      <c r="G22" s="15" t="s">
        <v>59</v>
      </c>
      <c r="H22" s="15">
        <v>45059</v>
      </c>
      <c r="I22" s="18">
        <v>45116</v>
      </c>
      <c r="J22" s="15">
        <v>45131</v>
      </c>
      <c r="K22" s="3">
        <v>379955.07</v>
      </c>
      <c r="L22">
        <f t="shared" si="0"/>
        <v>341871.63</v>
      </c>
      <c r="M22" s="21">
        <f t="shared" si="1"/>
        <v>-38083.440000000002</v>
      </c>
      <c r="N22" s="20">
        <f t="shared" si="2"/>
        <v>-0.10023142999513074</v>
      </c>
      <c r="O22" s="2" t="s">
        <v>279</v>
      </c>
      <c r="P22">
        <f>VLOOKUP('3_Cleaned_Data'!D22,'2_Contractor_Rates'!$A:$B,2,0)</f>
        <v>1900</v>
      </c>
      <c r="Q22" s="20">
        <f>INDEX('2_Contractor_Rates'!$C:$C,MATCH(D22,'2_Contractor_Rates'!$A:$A,0))</f>
        <v>0.12</v>
      </c>
      <c r="R22">
        <f t="shared" si="3"/>
        <v>15</v>
      </c>
    </row>
    <row r="23" spans="1:18" x14ac:dyDescent="0.35">
      <c r="A23" s="2" t="s">
        <v>157</v>
      </c>
      <c r="B23" s="2" t="s">
        <v>58</v>
      </c>
      <c r="C23" s="23" t="s">
        <v>65</v>
      </c>
      <c r="D23" s="2" t="s">
        <v>153</v>
      </c>
      <c r="E23" s="3">
        <v>364864.93</v>
      </c>
      <c r="F23" s="3">
        <v>106752.64</v>
      </c>
      <c r="G23" s="15" t="s">
        <v>158</v>
      </c>
      <c r="H23" s="15">
        <v>45127</v>
      </c>
      <c r="I23" s="18">
        <v>45163</v>
      </c>
      <c r="J23" s="15">
        <v>45190</v>
      </c>
      <c r="K23" s="3">
        <v>435949.93</v>
      </c>
      <c r="L23">
        <f t="shared" si="0"/>
        <v>471617.57</v>
      </c>
      <c r="M23" s="21">
        <f t="shared" si="1"/>
        <v>35667.640000000014</v>
      </c>
      <c r="N23" s="20">
        <f t="shared" si="2"/>
        <v>8.1815909455473512E-2</v>
      </c>
      <c r="O23" s="2" t="s">
        <v>161</v>
      </c>
      <c r="P23">
        <f>VLOOKUP('3_Cleaned_Data'!D23,'2_Contractor_Rates'!$A:$B,2,0)</f>
        <v>1900</v>
      </c>
      <c r="Q23" s="20">
        <f>INDEX('2_Contractor_Rates'!$C:$C,MATCH(D23,'2_Contractor_Rates'!$A:$A,0))</f>
        <v>0.12</v>
      </c>
      <c r="R23">
        <f t="shared" si="3"/>
        <v>27</v>
      </c>
    </row>
    <row r="24" spans="1:18" x14ac:dyDescent="0.35">
      <c r="A24" s="2" t="s">
        <v>162</v>
      </c>
      <c r="B24" s="2" t="s">
        <v>32</v>
      </c>
      <c r="C24" s="23" t="s">
        <v>219</v>
      </c>
      <c r="D24" s="2" t="s">
        <v>25</v>
      </c>
      <c r="E24" s="3">
        <v>310746.14</v>
      </c>
      <c r="F24" s="3">
        <v>121626.14</v>
      </c>
      <c r="G24" s="15" t="s">
        <v>163</v>
      </c>
      <c r="H24" s="15">
        <v>44960</v>
      </c>
      <c r="I24" s="18">
        <v>45012</v>
      </c>
      <c r="J24" s="15">
        <v>45025</v>
      </c>
      <c r="K24" s="3">
        <v>464412.86</v>
      </c>
      <c r="L24">
        <f t="shared" si="0"/>
        <v>432372.28</v>
      </c>
      <c r="M24" s="21">
        <f t="shared" si="1"/>
        <v>-32040.579999999958</v>
      </c>
      <c r="N24" s="20">
        <f t="shared" si="2"/>
        <v>-6.8991586494826951E-2</v>
      </c>
      <c r="O24" s="2" t="s">
        <v>161</v>
      </c>
      <c r="P24">
        <f>VLOOKUP('3_Cleaned_Data'!D24,'2_Contractor_Rates'!$A:$B,2,0)</f>
        <v>1950</v>
      </c>
      <c r="Q24" s="20">
        <f>INDEX('2_Contractor_Rates'!$C:$C,MATCH(D24,'2_Contractor_Rates'!$A:$A,0))</f>
        <v>0.13</v>
      </c>
      <c r="R24">
        <f t="shared" si="3"/>
        <v>13</v>
      </c>
    </row>
    <row r="25" spans="1:18" x14ac:dyDescent="0.35">
      <c r="A25" s="2" t="s">
        <v>167</v>
      </c>
      <c r="B25" s="2" t="s">
        <v>14</v>
      </c>
      <c r="C25" s="23" t="s">
        <v>24</v>
      </c>
      <c r="D25" s="2" t="s">
        <v>25</v>
      </c>
      <c r="E25" s="3">
        <v>131431.31</v>
      </c>
      <c r="F25" s="3">
        <v>132343.18</v>
      </c>
      <c r="G25" s="15" t="s">
        <v>43</v>
      </c>
      <c r="H25" s="15">
        <v>45028</v>
      </c>
      <c r="I25" s="18">
        <v>45085</v>
      </c>
      <c r="J25" s="15">
        <v>45101</v>
      </c>
      <c r="K25" s="3">
        <v>268620.96000000002</v>
      </c>
      <c r="L25">
        <f t="shared" si="0"/>
        <v>263774.49</v>
      </c>
      <c r="M25" s="21">
        <f t="shared" si="1"/>
        <v>-4846.4700000000303</v>
      </c>
      <c r="N25" s="20">
        <f t="shared" si="2"/>
        <v>-1.8042039608525077E-2</v>
      </c>
      <c r="O25" s="2" t="s">
        <v>161</v>
      </c>
      <c r="P25">
        <f>VLOOKUP('3_Cleaned_Data'!D25,'2_Contractor_Rates'!$A:$B,2,0)</f>
        <v>1950</v>
      </c>
      <c r="Q25" s="20">
        <f>INDEX('2_Contractor_Rates'!$C:$C,MATCH(D25,'2_Contractor_Rates'!$A:$A,0))</f>
        <v>0.13</v>
      </c>
      <c r="R25">
        <f t="shared" si="3"/>
        <v>16</v>
      </c>
    </row>
    <row r="26" spans="1:18" x14ac:dyDescent="0.35">
      <c r="A26" s="2" t="s">
        <v>171</v>
      </c>
      <c r="B26" s="2" t="s">
        <v>73</v>
      </c>
      <c r="C26" s="23" t="s">
        <v>219</v>
      </c>
      <c r="D26" s="2" t="s">
        <v>118</v>
      </c>
      <c r="E26" s="3">
        <v>278250.71000000002</v>
      </c>
      <c r="F26" s="3">
        <v>121899.95</v>
      </c>
      <c r="G26" s="15" t="s">
        <v>17</v>
      </c>
      <c r="H26" s="15">
        <v>44961</v>
      </c>
      <c r="I26" s="18">
        <v>44997</v>
      </c>
      <c r="J26" s="15">
        <v>44997</v>
      </c>
      <c r="K26" s="3">
        <v>341899.67</v>
      </c>
      <c r="L26">
        <f t="shared" si="0"/>
        <v>400150.66000000003</v>
      </c>
      <c r="M26" s="21">
        <f t="shared" si="1"/>
        <v>58250.990000000049</v>
      </c>
      <c r="N26" s="20">
        <f t="shared" si="2"/>
        <v>0.17037451366946349</v>
      </c>
      <c r="O26" s="2" t="s">
        <v>280</v>
      </c>
      <c r="P26">
        <f>VLOOKUP('3_Cleaned_Data'!D26,'2_Contractor_Rates'!$A:$B,2,0)</f>
        <v>1850</v>
      </c>
      <c r="Q26" s="20">
        <f>INDEX('2_Contractor_Rates'!$C:$C,MATCH(D26,'2_Contractor_Rates'!$A:$A,0))</f>
        <v>0.12</v>
      </c>
      <c r="R26">
        <f t="shared" si="3"/>
        <v>0</v>
      </c>
    </row>
    <row r="27" spans="1:18" x14ac:dyDescent="0.35">
      <c r="A27" s="2" t="s">
        <v>175</v>
      </c>
      <c r="B27" s="2" t="s">
        <v>41</v>
      </c>
      <c r="C27" s="23" t="s">
        <v>219</v>
      </c>
      <c r="D27" s="2" t="s">
        <v>91</v>
      </c>
      <c r="E27" s="3">
        <v>117301.01</v>
      </c>
      <c r="F27" s="3">
        <v>41824.379999999997</v>
      </c>
      <c r="G27" s="15" t="s">
        <v>176</v>
      </c>
      <c r="H27" s="15">
        <v>44942</v>
      </c>
      <c r="I27" s="18">
        <v>44999</v>
      </c>
      <c r="J27" s="15">
        <v>44995</v>
      </c>
      <c r="K27" s="3">
        <v>166823.72</v>
      </c>
      <c r="L27">
        <f t="shared" si="0"/>
        <v>159125.38999999998</v>
      </c>
      <c r="M27" s="21">
        <f t="shared" si="1"/>
        <v>-7698.3300000000163</v>
      </c>
      <c r="N27" s="20">
        <f t="shared" si="2"/>
        <v>-4.6146495234610618E-2</v>
      </c>
      <c r="O27" s="2" t="s">
        <v>280</v>
      </c>
      <c r="P27">
        <f>VLOOKUP('3_Cleaned_Data'!D27,'2_Contractor_Rates'!$A:$B,2,0)</f>
        <v>1750</v>
      </c>
      <c r="Q27" s="20">
        <f>INDEX('2_Contractor_Rates'!$C:$C,MATCH(D27,'2_Contractor_Rates'!$A:$A,0))</f>
        <v>0.11</v>
      </c>
      <c r="R27">
        <f t="shared" si="3"/>
        <v>-4</v>
      </c>
    </row>
    <row r="28" spans="1:18" x14ac:dyDescent="0.35">
      <c r="A28" s="2" t="s">
        <v>180</v>
      </c>
      <c r="B28" s="2" t="s">
        <v>73</v>
      </c>
      <c r="C28" s="23" t="s">
        <v>33</v>
      </c>
      <c r="D28" s="2" t="s">
        <v>153</v>
      </c>
      <c r="E28" s="3">
        <v>104178.89</v>
      </c>
      <c r="F28" s="3">
        <v>80440.33</v>
      </c>
      <c r="G28" s="15" t="s">
        <v>181</v>
      </c>
      <c r="H28" s="15">
        <v>45088</v>
      </c>
      <c r="I28" s="18">
        <v>45144</v>
      </c>
      <c r="J28" s="15">
        <v>45137</v>
      </c>
      <c r="K28" s="3">
        <v>210579.05</v>
      </c>
      <c r="L28">
        <f t="shared" si="0"/>
        <v>184619.22</v>
      </c>
      <c r="M28" s="21">
        <f t="shared" si="1"/>
        <v>-25959.829999999987</v>
      </c>
      <c r="N28" s="20">
        <f t="shared" si="2"/>
        <v>-0.12327831282361654</v>
      </c>
      <c r="O28" s="2" t="s">
        <v>279</v>
      </c>
      <c r="P28">
        <f>VLOOKUP('3_Cleaned_Data'!D28,'2_Contractor_Rates'!$A:$B,2,0)</f>
        <v>1900</v>
      </c>
      <c r="Q28" s="20">
        <f>INDEX('2_Contractor_Rates'!$C:$C,MATCH(D28,'2_Contractor_Rates'!$A:$A,0))</f>
        <v>0.12</v>
      </c>
      <c r="R28">
        <f t="shared" si="3"/>
        <v>-7</v>
      </c>
    </row>
    <row r="29" spans="1:18" x14ac:dyDescent="0.35">
      <c r="A29" s="2" t="s">
        <v>185</v>
      </c>
      <c r="B29" s="2" t="s">
        <v>81</v>
      </c>
      <c r="C29" s="23" t="s">
        <v>33</v>
      </c>
      <c r="D29" s="2" t="s">
        <v>34</v>
      </c>
      <c r="E29" s="3">
        <v>296983.61</v>
      </c>
      <c r="F29" s="3">
        <v>125354.17</v>
      </c>
      <c r="G29" s="15" t="s">
        <v>186</v>
      </c>
      <c r="H29" s="15">
        <v>45075</v>
      </c>
      <c r="I29" s="18">
        <v>45105</v>
      </c>
      <c r="J29" s="15">
        <v>45118</v>
      </c>
      <c r="K29" s="3">
        <v>373161.68</v>
      </c>
      <c r="L29">
        <f t="shared" si="0"/>
        <v>422337.77999999997</v>
      </c>
      <c r="M29" s="21">
        <f t="shared" si="1"/>
        <v>49176.099999999977</v>
      </c>
      <c r="N29" s="20">
        <f t="shared" si="2"/>
        <v>0.13178228804200898</v>
      </c>
      <c r="O29" s="2" t="s">
        <v>161</v>
      </c>
      <c r="P29">
        <f>VLOOKUP('3_Cleaned_Data'!D29,'2_Contractor_Rates'!$A:$B,2,0)</f>
        <v>2150</v>
      </c>
      <c r="Q29" s="20">
        <f>INDEX('2_Contractor_Rates'!$C:$C,MATCH(D29,'2_Contractor_Rates'!$A:$A,0))</f>
        <v>0.15</v>
      </c>
      <c r="R29">
        <f t="shared" si="3"/>
        <v>13</v>
      </c>
    </row>
    <row r="30" spans="1:18" x14ac:dyDescent="0.35">
      <c r="A30" s="2" t="s">
        <v>190</v>
      </c>
      <c r="B30" s="2" t="s">
        <v>148</v>
      </c>
      <c r="C30" s="23" t="s">
        <v>219</v>
      </c>
      <c r="D30" s="2" t="s">
        <v>91</v>
      </c>
      <c r="E30" s="3">
        <v>312317.15999999997</v>
      </c>
      <c r="F30" s="3">
        <v>187379.85</v>
      </c>
      <c r="G30" s="15" t="s">
        <v>191</v>
      </c>
      <c r="H30" s="15">
        <v>44963</v>
      </c>
      <c r="I30" s="18">
        <v>44994</v>
      </c>
      <c r="J30" s="15">
        <v>45010</v>
      </c>
      <c r="K30" s="3">
        <v>460231.54</v>
      </c>
      <c r="L30">
        <f t="shared" si="0"/>
        <v>499697.01</v>
      </c>
      <c r="M30" s="21">
        <f t="shared" si="1"/>
        <v>39465.47000000003</v>
      </c>
      <c r="N30" s="20">
        <f t="shared" si="2"/>
        <v>8.5751337250810827E-2</v>
      </c>
      <c r="O30" s="2" t="s">
        <v>135</v>
      </c>
      <c r="P30">
        <f>VLOOKUP('3_Cleaned_Data'!D30,'2_Contractor_Rates'!$A:$B,2,0)</f>
        <v>1750</v>
      </c>
      <c r="Q30" s="20">
        <f>INDEX('2_Contractor_Rates'!$C:$C,MATCH(D30,'2_Contractor_Rates'!$A:$A,0))</f>
        <v>0.11</v>
      </c>
      <c r="R30">
        <f t="shared" si="3"/>
        <v>16</v>
      </c>
    </row>
    <row r="31" spans="1:18" x14ac:dyDescent="0.35">
      <c r="A31" s="2" t="s">
        <v>195</v>
      </c>
      <c r="B31" s="2" t="s">
        <v>23</v>
      </c>
      <c r="C31" s="23" t="s">
        <v>219</v>
      </c>
      <c r="D31" s="2" t="s">
        <v>16</v>
      </c>
      <c r="E31" s="3">
        <v>379558.64</v>
      </c>
      <c r="F31" s="3">
        <v>126844.82</v>
      </c>
      <c r="G31" s="15" t="s">
        <v>100</v>
      </c>
      <c r="H31" s="15">
        <v>44955</v>
      </c>
      <c r="I31" s="18">
        <v>44986</v>
      </c>
      <c r="J31" s="15">
        <v>45002</v>
      </c>
      <c r="K31" s="3">
        <v>518392.93</v>
      </c>
      <c r="L31">
        <f t="shared" si="0"/>
        <v>506403.46</v>
      </c>
      <c r="M31" s="21">
        <f t="shared" si="1"/>
        <v>-11989.469999999972</v>
      </c>
      <c r="N31" s="20">
        <f t="shared" si="2"/>
        <v>-2.3128151072584983E-2</v>
      </c>
      <c r="O31" s="2" t="s">
        <v>279</v>
      </c>
      <c r="P31">
        <f>VLOOKUP('3_Cleaned_Data'!D31,'2_Contractor_Rates'!$A:$B,2,0)</f>
        <v>2200</v>
      </c>
      <c r="Q31" s="20">
        <f>INDEX('2_Contractor_Rates'!$C:$C,MATCH(D31,'2_Contractor_Rates'!$A:$A,0))</f>
        <v>0.15</v>
      </c>
      <c r="R31">
        <f t="shared" si="3"/>
        <v>16</v>
      </c>
    </row>
    <row r="32" spans="1:18" x14ac:dyDescent="0.35">
      <c r="A32" s="2" t="s">
        <v>199</v>
      </c>
      <c r="B32" s="2" t="s">
        <v>81</v>
      </c>
      <c r="C32" s="23" t="s">
        <v>24</v>
      </c>
      <c r="D32" s="2" t="s">
        <v>118</v>
      </c>
      <c r="E32" s="3">
        <v>82304.460000000006</v>
      </c>
      <c r="F32" s="3">
        <v>102007.88</v>
      </c>
      <c r="G32" s="15" t="s">
        <v>200</v>
      </c>
      <c r="H32" s="15">
        <v>45006</v>
      </c>
      <c r="I32" s="18">
        <v>45049</v>
      </c>
      <c r="J32" s="15">
        <v>45079</v>
      </c>
      <c r="K32" s="3">
        <v>171964.16</v>
      </c>
      <c r="L32">
        <f t="shared" si="0"/>
        <v>184312.34000000003</v>
      </c>
      <c r="M32" s="21">
        <f t="shared" si="1"/>
        <v>12348.180000000022</v>
      </c>
      <c r="N32" s="20">
        <f t="shared" si="2"/>
        <v>7.1806706699814787E-2</v>
      </c>
      <c r="O32" s="2" t="s">
        <v>279</v>
      </c>
      <c r="P32">
        <f>VLOOKUP('3_Cleaned_Data'!D32,'2_Contractor_Rates'!$A:$B,2,0)</f>
        <v>1850</v>
      </c>
      <c r="Q32" s="20">
        <f>INDEX('2_Contractor_Rates'!$C:$C,MATCH(D32,'2_Contractor_Rates'!$A:$A,0))</f>
        <v>0.12</v>
      </c>
      <c r="R32">
        <f t="shared" si="3"/>
        <v>30</v>
      </c>
    </row>
    <row r="33" spans="1:18" x14ac:dyDescent="0.35">
      <c r="A33" s="2" t="s">
        <v>204</v>
      </c>
      <c r="B33" s="2" t="s">
        <v>89</v>
      </c>
      <c r="C33" s="23" t="s">
        <v>24</v>
      </c>
      <c r="D33" s="2" t="s">
        <v>51</v>
      </c>
      <c r="E33" s="3">
        <v>65535.29</v>
      </c>
      <c r="F33" s="3">
        <v>104129.78</v>
      </c>
      <c r="G33" s="15" t="s">
        <v>205</v>
      </c>
      <c r="H33" s="15">
        <v>45025</v>
      </c>
      <c r="I33" s="18">
        <v>45061</v>
      </c>
      <c r="J33" s="15">
        <v>45074</v>
      </c>
      <c r="K33" s="3">
        <v>170679.01</v>
      </c>
      <c r="L33">
        <f t="shared" si="0"/>
        <v>169665.07</v>
      </c>
      <c r="M33" s="21">
        <f t="shared" si="1"/>
        <v>-1013.9400000000023</v>
      </c>
      <c r="N33" s="20">
        <f t="shared" si="2"/>
        <v>-5.9406250364353666E-3</v>
      </c>
      <c r="O33" s="2" t="s">
        <v>280</v>
      </c>
      <c r="P33">
        <f>VLOOKUP('3_Cleaned_Data'!D33,'2_Contractor_Rates'!$A:$B,2,0)</f>
        <v>1800</v>
      </c>
      <c r="Q33" s="20">
        <f>INDEX('2_Contractor_Rates'!$C:$C,MATCH(D33,'2_Contractor_Rates'!$A:$A,0))</f>
        <v>0.11</v>
      </c>
      <c r="R33">
        <f t="shared" si="3"/>
        <v>13</v>
      </c>
    </row>
    <row r="34" spans="1:18" x14ac:dyDescent="0.35">
      <c r="A34" s="2" t="s">
        <v>209</v>
      </c>
      <c r="B34" s="2" t="s">
        <v>148</v>
      </c>
      <c r="C34" s="23" t="s">
        <v>24</v>
      </c>
      <c r="D34" s="2" t="s">
        <v>74</v>
      </c>
      <c r="E34" s="3">
        <v>330782.3</v>
      </c>
      <c r="F34" s="3">
        <v>176890.88</v>
      </c>
      <c r="G34" s="15" t="s">
        <v>210</v>
      </c>
      <c r="H34" s="15">
        <v>45005</v>
      </c>
      <c r="I34" s="18">
        <v>45051</v>
      </c>
      <c r="J34" s="15">
        <v>45065</v>
      </c>
      <c r="K34" s="3">
        <v>555000.91</v>
      </c>
      <c r="L34">
        <f t="shared" si="0"/>
        <v>507673.18</v>
      </c>
      <c r="M34" s="21">
        <f t="shared" si="1"/>
        <v>-47327.73000000004</v>
      </c>
      <c r="N34" s="20">
        <f t="shared" si="2"/>
        <v>-8.5275049368838035E-2</v>
      </c>
      <c r="O34" s="2" t="s">
        <v>135</v>
      </c>
      <c r="P34">
        <f>VLOOKUP('3_Cleaned_Data'!D34,'2_Contractor_Rates'!$A:$B,2,0)</f>
        <v>2050</v>
      </c>
      <c r="Q34" s="20">
        <f>INDEX('2_Contractor_Rates'!$C:$C,MATCH(D34,'2_Contractor_Rates'!$A:$A,0))</f>
        <v>0.14000000000000001</v>
      </c>
      <c r="R34">
        <f t="shared" si="3"/>
        <v>14</v>
      </c>
    </row>
    <row r="35" spans="1:18" x14ac:dyDescent="0.35">
      <c r="A35" s="2" t="s">
        <v>214</v>
      </c>
      <c r="B35" s="2" t="s">
        <v>23</v>
      </c>
      <c r="C35" s="23" t="s">
        <v>65</v>
      </c>
      <c r="D35" s="2" t="s">
        <v>51</v>
      </c>
      <c r="E35" s="3">
        <v>264087.21999999997</v>
      </c>
      <c r="F35" s="3">
        <v>197829.62</v>
      </c>
      <c r="G35" s="15" t="s">
        <v>83</v>
      </c>
      <c r="H35" s="15">
        <v>45137</v>
      </c>
      <c r="I35" s="18">
        <v>45196</v>
      </c>
      <c r="J35" s="15">
        <v>45205</v>
      </c>
      <c r="K35" s="3">
        <v>483254.12</v>
      </c>
      <c r="L35">
        <f t="shared" si="0"/>
        <v>461916.83999999997</v>
      </c>
      <c r="M35" s="21">
        <f t="shared" si="1"/>
        <v>-21337.280000000028</v>
      </c>
      <c r="N35" s="20">
        <f t="shared" si="2"/>
        <v>-4.4153332826215801E-2</v>
      </c>
      <c r="O35" s="2" t="s">
        <v>135</v>
      </c>
      <c r="P35">
        <f>VLOOKUP('3_Cleaned_Data'!D35,'2_Contractor_Rates'!$A:$B,2,0)</f>
        <v>1800</v>
      </c>
      <c r="Q35" s="20">
        <f>INDEX('2_Contractor_Rates'!$C:$C,MATCH(D35,'2_Contractor_Rates'!$A:$A,0))</f>
        <v>0.11</v>
      </c>
      <c r="R35">
        <f t="shared" si="3"/>
        <v>9</v>
      </c>
    </row>
    <row r="36" spans="1:18" x14ac:dyDescent="0.35">
      <c r="A36" s="2" t="s">
        <v>218</v>
      </c>
      <c r="B36" s="2" t="s">
        <v>81</v>
      </c>
      <c r="C36" s="23" t="s">
        <v>219</v>
      </c>
      <c r="D36" s="2" t="s">
        <v>16</v>
      </c>
      <c r="E36" s="3">
        <v>309845.84000000003</v>
      </c>
      <c r="F36" s="3">
        <v>56426.14</v>
      </c>
      <c r="G36" s="15" t="s">
        <v>220</v>
      </c>
      <c r="H36" s="15">
        <v>44961</v>
      </c>
      <c r="I36" s="18">
        <v>45005</v>
      </c>
      <c r="J36" s="15">
        <v>45008</v>
      </c>
      <c r="K36" s="3">
        <v>342291.01</v>
      </c>
      <c r="L36">
        <f t="shared" si="0"/>
        <v>366271.98000000004</v>
      </c>
      <c r="M36" s="21">
        <f t="shared" si="1"/>
        <v>23980.97000000003</v>
      </c>
      <c r="N36" s="20">
        <f t="shared" si="2"/>
        <v>7.006018066323165E-2</v>
      </c>
      <c r="O36" s="2" t="s">
        <v>279</v>
      </c>
      <c r="P36">
        <f>VLOOKUP('3_Cleaned_Data'!D36,'2_Contractor_Rates'!$A:$B,2,0)</f>
        <v>2200</v>
      </c>
      <c r="Q36" s="20">
        <f>INDEX('2_Contractor_Rates'!$C:$C,MATCH(D36,'2_Contractor_Rates'!$A:$A,0))</f>
        <v>0.15</v>
      </c>
      <c r="R36">
        <f t="shared" si="3"/>
        <v>3</v>
      </c>
    </row>
    <row r="37" spans="1:18" x14ac:dyDescent="0.35">
      <c r="A37" s="2" t="s">
        <v>223</v>
      </c>
      <c r="B37" s="2" t="s">
        <v>98</v>
      </c>
      <c r="C37" s="23" t="s">
        <v>219</v>
      </c>
      <c r="D37" s="2" t="s">
        <v>25</v>
      </c>
      <c r="E37" s="3">
        <v>117056.53</v>
      </c>
      <c r="F37" s="3">
        <v>121168.58</v>
      </c>
      <c r="G37" s="15" t="s">
        <v>224</v>
      </c>
      <c r="H37" s="15">
        <v>45126</v>
      </c>
      <c r="I37" s="18">
        <v>45192</v>
      </c>
      <c r="J37" s="15">
        <v>45197</v>
      </c>
      <c r="K37" s="3">
        <v>212509.83</v>
      </c>
      <c r="L37">
        <f t="shared" si="0"/>
        <v>238225.11</v>
      </c>
      <c r="M37" s="21">
        <f t="shared" si="1"/>
        <v>25715.279999999999</v>
      </c>
      <c r="N37" s="20">
        <f t="shared" si="2"/>
        <v>0.12100748468906121</v>
      </c>
      <c r="O37" s="2" t="s">
        <v>135</v>
      </c>
      <c r="P37">
        <f>VLOOKUP('3_Cleaned_Data'!D37,'2_Contractor_Rates'!$A:$B,2,0)</f>
        <v>1950</v>
      </c>
      <c r="Q37" s="20">
        <f>INDEX('2_Contractor_Rates'!$C:$C,MATCH(D37,'2_Contractor_Rates'!$A:$A,0))</f>
        <v>0.13</v>
      </c>
      <c r="R37">
        <f t="shared" si="3"/>
        <v>5</v>
      </c>
    </row>
    <row r="38" spans="1:18" x14ac:dyDescent="0.35">
      <c r="A38" s="2" t="s">
        <v>227</v>
      </c>
      <c r="B38" s="2" t="s">
        <v>23</v>
      </c>
      <c r="C38" s="23" t="s">
        <v>33</v>
      </c>
      <c r="D38" s="2" t="s">
        <v>16</v>
      </c>
      <c r="E38" s="3">
        <v>238172.04</v>
      </c>
      <c r="F38" s="3">
        <v>116000.4</v>
      </c>
      <c r="G38" s="15" t="s">
        <v>228</v>
      </c>
      <c r="H38" s="15">
        <v>45063</v>
      </c>
      <c r="I38" s="18">
        <v>45121</v>
      </c>
      <c r="J38" s="15">
        <v>45134</v>
      </c>
      <c r="K38" s="3">
        <v>315120.31</v>
      </c>
      <c r="L38">
        <f t="shared" si="0"/>
        <v>354172.44</v>
      </c>
      <c r="M38" s="21">
        <f t="shared" si="1"/>
        <v>39052.130000000005</v>
      </c>
      <c r="N38" s="20">
        <f t="shared" si="2"/>
        <v>0.12392768336639427</v>
      </c>
      <c r="O38" s="2" t="s">
        <v>279</v>
      </c>
      <c r="P38">
        <f>VLOOKUP('3_Cleaned_Data'!D38,'2_Contractor_Rates'!$A:$B,2,0)</f>
        <v>2200</v>
      </c>
      <c r="Q38" s="20">
        <f>INDEX('2_Contractor_Rates'!$C:$C,MATCH(D38,'2_Contractor_Rates'!$A:$A,0))</f>
        <v>0.15</v>
      </c>
      <c r="R38">
        <f t="shared" si="3"/>
        <v>13</v>
      </c>
    </row>
    <row r="39" spans="1:18" x14ac:dyDescent="0.35">
      <c r="A39" s="2" t="s">
        <v>232</v>
      </c>
      <c r="B39" s="2" t="s">
        <v>58</v>
      </c>
      <c r="C39" s="23" t="s">
        <v>219</v>
      </c>
      <c r="D39" s="2" t="s">
        <v>91</v>
      </c>
      <c r="E39" s="3">
        <v>119618.89</v>
      </c>
      <c r="F39" s="3">
        <v>93565.35</v>
      </c>
      <c r="G39" s="15" t="s">
        <v>233</v>
      </c>
      <c r="H39" s="15">
        <v>44944</v>
      </c>
      <c r="I39" s="18">
        <v>45027</v>
      </c>
      <c r="J39" s="15">
        <v>45037</v>
      </c>
      <c r="K39" s="3">
        <v>191538.52</v>
      </c>
      <c r="L39">
        <f t="shared" si="0"/>
        <v>213184.24</v>
      </c>
      <c r="M39" s="21">
        <f t="shared" si="1"/>
        <v>21645.72</v>
      </c>
      <c r="N39" s="20">
        <f t="shared" si="2"/>
        <v>0.1130097486395948</v>
      </c>
      <c r="O39" s="2" t="s">
        <v>280</v>
      </c>
      <c r="P39">
        <f>VLOOKUP('3_Cleaned_Data'!D39,'2_Contractor_Rates'!$A:$B,2,0)</f>
        <v>1750</v>
      </c>
      <c r="Q39" s="20">
        <f>INDEX('2_Contractor_Rates'!$C:$C,MATCH(D39,'2_Contractor_Rates'!$A:$A,0))</f>
        <v>0.11</v>
      </c>
      <c r="R39">
        <f t="shared" si="3"/>
        <v>10</v>
      </c>
    </row>
    <row r="40" spans="1:18" x14ac:dyDescent="0.35">
      <c r="A40" s="2" t="s">
        <v>237</v>
      </c>
      <c r="B40" s="2" t="s">
        <v>98</v>
      </c>
      <c r="C40" s="23" t="s">
        <v>24</v>
      </c>
      <c r="D40" s="2" t="s">
        <v>25</v>
      </c>
      <c r="E40" s="3">
        <v>238731.88</v>
      </c>
      <c r="F40" s="3">
        <v>152969.94</v>
      </c>
      <c r="G40" s="15" t="s">
        <v>238</v>
      </c>
      <c r="H40" s="15">
        <v>45020</v>
      </c>
      <c r="I40" s="18">
        <v>45065</v>
      </c>
      <c r="J40" s="15">
        <v>45085</v>
      </c>
      <c r="K40" s="3">
        <v>436635.86</v>
      </c>
      <c r="L40">
        <f t="shared" si="0"/>
        <v>391701.82</v>
      </c>
      <c r="M40" s="21">
        <f t="shared" si="1"/>
        <v>-44934.039999999979</v>
      </c>
      <c r="N40" s="20">
        <f t="shared" si="2"/>
        <v>-0.1029096419153479</v>
      </c>
      <c r="O40" s="2" t="s">
        <v>280</v>
      </c>
      <c r="P40">
        <f>VLOOKUP('3_Cleaned_Data'!D40,'2_Contractor_Rates'!$A:$B,2,0)</f>
        <v>1950</v>
      </c>
      <c r="Q40" s="20">
        <f>INDEX('2_Contractor_Rates'!$C:$C,MATCH(D40,'2_Contractor_Rates'!$A:$A,0))</f>
        <v>0.13</v>
      </c>
      <c r="R40">
        <f t="shared" si="3"/>
        <v>20</v>
      </c>
    </row>
    <row r="41" spans="1:18" x14ac:dyDescent="0.35">
      <c r="A41" s="2" t="s">
        <v>241</v>
      </c>
      <c r="B41" s="2" t="s">
        <v>98</v>
      </c>
      <c r="C41" s="23" t="s">
        <v>33</v>
      </c>
      <c r="D41" s="2" t="s">
        <v>74</v>
      </c>
      <c r="E41" s="3">
        <v>174004.15</v>
      </c>
      <c r="F41" s="3">
        <v>99887.39</v>
      </c>
      <c r="G41" s="15" t="s">
        <v>242</v>
      </c>
      <c r="H41" s="15">
        <v>45077</v>
      </c>
      <c r="I41" s="18">
        <v>45107</v>
      </c>
      <c r="J41" s="15">
        <v>45100</v>
      </c>
      <c r="K41" s="3">
        <v>303787.08</v>
      </c>
      <c r="L41">
        <f t="shared" si="0"/>
        <v>273891.53999999998</v>
      </c>
      <c r="M41" s="21">
        <f t="shared" si="1"/>
        <v>-29895.540000000037</v>
      </c>
      <c r="N41" s="20">
        <f t="shared" si="2"/>
        <v>-9.8409517613454914E-2</v>
      </c>
      <c r="O41" s="2" t="s">
        <v>280</v>
      </c>
      <c r="P41">
        <f>VLOOKUP('3_Cleaned_Data'!D41,'2_Contractor_Rates'!$A:$B,2,0)</f>
        <v>2050</v>
      </c>
      <c r="Q41" s="20">
        <f>INDEX('2_Contractor_Rates'!$C:$C,MATCH(D41,'2_Contractor_Rates'!$A:$A,0))</f>
        <v>0.14000000000000001</v>
      </c>
      <c r="R41">
        <f t="shared" si="3"/>
        <v>-7</v>
      </c>
    </row>
  </sheetData>
  <conditionalFormatting sqref="M2:N41">
    <cfRule type="cellIs" dxfId="8" priority="1" operator="lessThanOrEqual">
      <formula>0</formula>
    </cfRule>
    <cfRule type="cellIs" dxfId="7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9B97-3DB0-49A5-9F32-FB5824CFC300}">
  <sheetPr>
    <tabColor theme="9" tint="-0.249977111117893"/>
  </sheetPr>
  <dimension ref="A1:F34"/>
  <sheetViews>
    <sheetView topLeftCell="A22" zoomScale="124" zoomScaleNormal="124" workbookViewId="0">
      <selection activeCell="E34" sqref="E34"/>
    </sheetView>
  </sheetViews>
  <sheetFormatPr defaultRowHeight="14.5" x14ac:dyDescent="0.35"/>
  <cols>
    <col min="1" max="1" width="22.1796875" customWidth="1"/>
    <col min="2" max="2" width="12.36328125" customWidth="1"/>
    <col min="3" max="3" width="15.08984375" customWidth="1"/>
    <col min="4" max="4" width="12.81640625" customWidth="1"/>
    <col min="5" max="5" width="12.36328125" customWidth="1"/>
    <col min="6" max="6" width="10.6328125" customWidth="1"/>
  </cols>
  <sheetData>
    <row r="1" spans="1:6" x14ac:dyDescent="0.35">
      <c r="A1" s="22" t="s">
        <v>285</v>
      </c>
      <c r="B1" s="22" t="s">
        <v>281</v>
      </c>
      <c r="C1" s="22" t="s">
        <v>282</v>
      </c>
      <c r="D1" s="22" t="s">
        <v>283</v>
      </c>
      <c r="E1" s="22" t="s">
        <v>284</v>
      </c>
      <c r="F1" s="22" t="s">
        <v>11</v>
      </c>
    </row>
    <row r="2" spans="1:6" x14ac:dyDescent="0.35">
      <c r="A2" t="s">
        <v>219</v>
      </c>
      <c r="B2">
        <f>SUMIF('3_Cleaned_Data'!$C:$C,A2,'3_Cleaned_Data'!$K:$K)</f>
        <v>3321244.31</v>
      </c>
      <c r="C2">
        <f>SUMIF('3_Cleaned_Data'!$C:$C,A2,'3_Cleaned_Data'!$L:$L)</f>
        <v>3480508.4699999997</v>
      </c>
      <c r="D2">
        <f>C2-B2</f>
        <v>159264.15999999968</v>
      </c>
      <c r="E2">
        <f>D2/B2</f>
        <v>4.7953160061266216E-2</v>
      </c>
      <c r="F2" t="str">
        <f>IF(E2&gt;0.1,"Over Budget",IF(E2&gt;0,"Watch","On Track"))</f>
        <v>Watch</v>
      </c>
    </row>
    <row r="3" spans="1:6" x14ac:dyDescent="0.35">
      <c r="A3" t="s">
        <v>24</v>
      </c>
      <c r="B3">
        <f>SUMIF('3_Cleaned_Data'!$C:$C,A3,'3_Cleaned_Data'!$K:$K)</f>
        <v>3043895.21</v>
      </c>
      <c r="C3">
        <f>SUMIF('3_Cleaned_Data'!$C:$C,A3,'3_Cleaned_Data'!$L:$L)</f>
        <v>3077031.87</v>
      </c>
      <c r="D3">
        <f t="shared" ref="D3:D5" si="0">C3-B3</f>
        <v>33136.660000000149</v>
      </c>
      <c r="E3">
        <f t="shared" ref="E3:E5" si="1">D3/B3</f>
        <v>1.0886268321963734E-2</v>
      </c>
      <c r="F3" t="str">
        <f t="shared" ref="F3:F6" si="2">IF(E3&gt;0.1,"Over Budget",IF(E3&gt;0,"Watch","On Track"))</f>
        <v>Watch</v>
      </c>
    </row>
    <row r="4" spans="1:6" x14ac:dyDescent="0.35">
      <c r="A4" t="s">
        <v>33</v>
      </c>
      <c r="B4">
        <f>SUMIF('3_Cleaned_Data'!$C:$C,A4,'3_Cleaned_Data'!$K:$K)</f>
        <v>3158723.0100000002</v>
      </c>
      <c r="C4">
        <f>SUMIF('3_Cleaned_Data'!$C:$C,A4,'3_Cleaned_Data'!$L:$L)</f>
        <v>3060874.87</v>
      </c>
      <c r="D4">
        <f t="shared" si="0"/>
        <v>-97848.14000000013</v>
      </c>
      <c r="E4">
        <f t="shared" si="1"/>
        <v>-3.097711945309194E-2</v>
      </c>
      <c r="F4" t="str">
        <f t="shared" si="2"/>
        <v>On Track</v>
      </c>
    </row>
    <row r="5" spans="1:6" x14ac:dyDescent="0.35">
      <c r="A5" t="s">
        <v>65</v>
      </c>
      <c r="B5">
        <f>SUMIF('3_Cleaned_Data'!$C:$C,A5,'3_Cleaned_Data'!$K:$K)</f>
        <v>3550584.81</v>
      </c>
      <c r="C5">
        <f>SUMIF('3_Cleaned_Data'!$C:$C,A5,'3_Cleaned_Data'!$L:$L)</f>
        <v>3407311.3699999996</v>
      </c>
      <c r="D5">
        <f t="shared" si="0"/>
        <v>-143273.44000000041</v>
      </c>
      <c r="E5">
        <f t="shared" si="1"/>
        <v>-4.0352068086496551E-2</v>
      </c>
      <c r="F5" t="str">
        <f t="shared" si="2"/>
        <v>On Track</v>
      </c>
    </row>
    <row r="6" spans="1:6" x14ac:dyDescent="0.35">
      <c r="A6" t="s">
        <v>287</v>
      </c>
      <c r="B6">
        <f>SUM(B2:B5)</f>
        <v>13074447.34</v>
      </c>
      <c r="C6">
        <f>SUM(C2:C5)</f>
        <v>13025726.58</v>
      </c>
      <c r="D6">
        <f>SUM(D2:D5)</f>
        <v>-48720.760000000708</v>
      </c>
      <c r="E6" s="20">
        <f>D6/B6</f>
        <v>-3.7264106644832535E-3</v>
      </c>
      <c r="F6" t="str">
        <f t="shared" si="2"/>
        <v>On Track</v>
      </c>
    </row>
    <row r="9" spans="1:6" x14ac:dyDescent="0.35">
      <c r="A9" s="5" t="s">
        <v>288</v>
      </c>
      <c r="B9" s="5" t="s">
        <v>219</v>
      </c>
      <c r="C9" s="5" t="s">
        <v>24</v>
      </c>
      <c r="D9" s="5" t="s">
        <v>33</v>
      </c>
      <c r="E9" s="5" t="s">
        <v>65</v>
      </c>
      <c r="F9" s="5" t="s">
        <v>289</v>
      </c>
    </row>
    <row r="10" spans="1:6" x14ac:dyDescent="0.35">
      <c r="A10" t="s">
        <v>14</v>
      </c>
      <c r="B10" s="24">
        <f>SUMIFS('3_Cleaned_Data'!$L:$L,'3_Cleaned_Data'!$B:$B,$A10,'3_Cleaned_Data'!$C:$C,B$9)</f>
        <v>135508.74</v>
      </c>
      <c r="C10" s="24">
        <f>SUMIFS('3_Cleaned_Data'!$L:$L,'3_Cleaned_Data'!$B:$B,$A10,'3_Cleaned_Data'!$C:$C,C$9)</f>
        <v>263774.49</v>
      </c>
      <c r="D10" s="24">
        <f>SUMIFS('3_Cleaned_Data'!$L:$L,'3_Cleaned_Data'!$B:$B,$A10,'3_Cleaned_Data'!$C:$C,D$9)</f>
        <v>372724.66000000003</v>
      </c>
      <c r="E10" s="24">
        <f>SUMIFS('3_Cleaned_Data'!$L:$L,'3_Cleaned_Data'!$B:$B,$A10,'3_Cleaned_Data'!$C:$C,E$9)</f>
        <v>479256.46</v>
      </c>
      <c r="F10" s="24">
        <f>SUM(B10:E10)</f>
        <v>1251264.3500000001</v>
      </c>
    </row>
    <row r="11" spans="1:6" x14ac:dyDescent="0.35">
      <c r="A11" t="s">
        <v>41</v>
      </c>
      <c r="B11" s="24">
        <f>SUMIFS('3_Cleaned_Data'!$L:$L,'3_Cleaned_Data'!$B:$B,$A11,'3_Cleaned_Data'!$C:$C,B$9)</f>
        <v>159125.38999999998</v>
      </c>
      <c r="C11" s="24">
        <f>SUMIFS('3_Cleaned_Data'!$L:$L,'3_Cleaned_Data'!$B:$B,$A11,'3_Cleaned_Data'!$C:$C,C$9)</f>
        <v>245179.53999999998</v>
      </c>
      <c r="D11" s="24">
        <f>SUMIFS('3_Cleaned_Data'!$L:$L,'3_Cleaned_Data'!$B:$B,$A11,'3_Cleaned_Data'!$C:$C,D$9)</f>
        <v>287682.2</v>
      </c>
      <c r="E11" s="24">
        <f>SUMIFS('3_Cleaned_Data'!$L:$L,'3_Cleaned_Data'!$B:$B,$A11,'3_Cleaned_Data'!$C:$C,E$9)</f>
        <v>258399.15000000002</v>
      </c>
      <c r="F11" s="24">
        <f t="shared" ref="F11:F19" si="3">SUM(B11:E11)</f>
        <v>950386.27999999991</v>
      </c>
    </row>
    <row r="12" spans="1:6" x14ac:dyDescent="0.35">
      <c r="A12" t="s">
        <v>32</v>
      </c>
      <c r="B12" s="24">
        <f>SUMIFS('3_Cleaned_Data'!$L:$L,'3_Cleaned_Data'!$B:$B,$A12,'3_Cleaned_Data'!$C:$C,B$9)</f>
        <v>432372.28</v>
      </c>
      <c r="C12" s="24">
        <f>SUMIFS('3_Cleaned_Data'!$L:$L,'3_Cleaned_Data'!$B:$B,$A12,'3_Cleaned_Data'!$C:$C,C$9)</f>
        <v>490911.25</v>
      </c>
      <c r="D12" s="24">
        <f>SUMIFS('3_Cleaned_Data'!$L:$L,'3_Cleaned_Data'!$B:$B,$A12,'3_Cleaned_Data'!$C:$C,D$9)</f>
        <v>262043.34</v>
      </c>
      <c r="E12" s="24">
        <f>SUMIFS('3_Cleaned_Data'!$L:$L,'3_Cleaned_Data'!$B:$B,$A12,'3_Cleaned_Data'!$C:$C,E$9)</f>
        <v>309300.87</v>
      </c>
      <c r="F12" s="24">
        <f t="shared" si="3"/>
        <v>1494627.7400000002</v>
      </c>
    </row>
    <row r="13" spans="1:6" x14ac:dyDescent="0.35">
      <c r="A13" t="s">
        <v>58</v>
      </c>
      <c r="B13" s="24">
        <f>SUMIFS('3_Cleaned_Data'!$L:$L,'3_Cleaned_Data'!$B:$B,$A13,'3_Cleaned_Data'!$C:$C,B$9)</f>
        <v>213184.24</v>
      </c>
      <c r="C13" s="24">
        <f>SUMIFS('3_Cleaned_Data'!$L:$L,'3_Cleaned_Data'!$B:$B,$A13,'3_Cleaned_Data'!$C:$C,C$9)</f>
        <v>204756.47999999998</v>
      </c>
      <c r="D13" s="24">
        <f>SUMIFS('3_Cleaned_Data'!$L:$L,'3_Cleaned_Data'!$B:$B,$A13,'3_Cleaned_Data'!$C:$C,D$9)</f>
        <v>227498.97999999998</v>
      </c>
      <c r="E13" s="24">
        <f>SUMIFS('3_Cleaned_Data'!$L:$L,'3_Cleaned_Data'!$B:$B,$A13,'3_Cleaned_Data'!$C:$C,E$9)</f>
        <v>471617.57</v>
      </c>
      <c r="F13" s="24">
        <f t="shared" si="3"/>
        <v>1117057.27</v>
      </c>
    </row>
    <row r="14" spans="1:6" x14ac:dyDescent="0.35">
      <c r="A14" t="s">
        <v>98</v>
      </c>
      <c r="B14" s="24">
        <f>SUMIFS('3_Cleaned_Data'!$L:$L,'3_Cleaned_Data'!$B:$B,$A14,'3_Cleaned_Data'!$C:$C,B$9)</f>
        <v>575977.98</v>
      </c>
      <c r="C14" s="24">
        <f>SUMIFS('3_Cleaned_Data'!$L:$L,'3_Cleaned_Data'!$B:$B,$A14,'3_Cleaned_Data'!$C:$C,C$9)</f>
        <v>391701.82</v>
      </c>
      <c r="D14" s="24">
        <f>SUMIFS('3_Cleaned_Data'!$L:$L,'3_Cleaned_Data'!$B:$B,$A14,'3_Cleaned_Data'!$C:$C,D$9)</f>
        <v>273891.53999999998</v>
      </c>
      <c r="E14" s="24">
        <f>SUMIFS('3_Cleaned_Data'!$L:$L,'3_Cleaned_Data'!$B:$B,$A14,'3_Cleaned_Data'!$C:$C,E$9)</f>
        <v>0</v>
      </c>
      <c r="F14" s="24">
        <f t="shared" si="3"/>
        <v>1241571.3400000001</v>
      </c>
    </row>
    <row r="15" spans="1:6" x14ac:dyDescent="0.35">
      <c r="A15" t="s">
        <v>73</v>
      </c>
      <c r="B15" s="24">
        <f>SUMIFS('3_Cleaned_Data'!$L:$L,'3_Cleaned_Data'!$B:$B,$A15,'3_Cleaned_Data'!$C:$C,B$9)</f>
        <v>400150.66000000003</v>
      </c>
      <c r="C15" s="24">
        <f>SUMIFS('3_Cleaned_Data'!$L:$L,'3_Cleaned_Data'!$B:$B,$A15,'3_Cleaned_Data'!$C:$C,C$9)</f>
        <v>423843.31</v>
      </c>
      <c r="D15" s="24">
        <f>SUMIFS('3_Cleaned_Data'!$L:$L,'3_Cleaned_Data'!$B:$B,$A15,'3_Cleaned_Data'!$C:$C,D$9)</f>
        <v>184619.22</v>
      </c>
      <c r="E15" s="24">
        <f>SUMIFS('3_Cleaned_Data'!$L:$L,'3_Cleaned_Data'!$B:$B,$A15,'3_Cleaned_Data'!$C:$C,E$9)</f>
        <v>492076.94</v>
      </c>
      <c r="F15" s="24">
        <f t="shared" si="3"/>
        <v>1500690.13</v>
      </c>
    </row>
    <row r="16" spans="1:6" x14ac:dyDescent="0.35">
      <c r="A16" t="s">
        <v>23</v>
      </c>
      <c r="B16" s="24">
        <f>SUMIFS('3_Cleaned_Data'!$L:$L,'3_Cleaned_Data'!$B:$B,$A16,'3_Cleaned_Data'!$C:$C,B$9)</f>
        <v>506403.46</v>
      </c>
      <c r="C16" s="24">
        <f>SUMIFS('3_Cleaned_Data'!$L:$L,'3_Cleaned_Data'!$B:$B,$A16,'3_Cleaned_Data'!$C:$C,C$9)</f>
        <v>195214.38999999998</v>
      </c>
      <c r="D16" s="24">
        <f>SUMIFS('3_Cleaned_Data'!$L:$L,'3_Cleaned_Data'!$B:$B,$A16,'3_Cleaned_Data'!$C:$C,D$9)</f>
        <v>354172.44</v>
      </c>
      <c r="E16" s="24">
        <f>SUMIFS('3_Cleaned_Data'!$L:$L,'3_Cleaned_Data'!$B:$B,$A16,'3_Cleaned_Data'!$C:$C,E$9)</f>
        <v>461916.83999999997</v>
      </c>
      <c r="F16" s="24">
        <f t="shared" si="3"/>
        <v>1517707.13</v>
      </c>
    </row>
    <row r="17" spans="1:6" x14ac:dyDescent="0.35">
      <c r="A17" t="s">
        <v>81</v>
      </c>
      <c r="B17" s="24">
        <f>SUMIFS('3_Cleaned_Data'!$L:$L,'3_Cleaned_Data'!$B:$B,$A17,'3_Cleaned_Data'!$C:$C,B$9)</f>
        <v>366271.98000000004</v>
      </c>
      <c r="C17" s="24">
        <f>SUMIFS('3_Cleaned_Data'!$L:$L,'3_Cleaned_Data'!$B:$B,$A17,'3_Cleaned_Data'!$C:$C,C$9)</f>
        <v>184312.34000000003</v>
      </c>
      <c r="D17" s="24">
        <f>SUMIFS('3_Cleaned_Data'!$L:$L,'3_Cleaned_Data'!$B:$B,$A17,'3_Cleaned_Data'!$C:$C,D$9)</f>
        <v>422337.77999999997</v>
      </c>
      <c r="E17" s="24">
        <f>SUMIFS('3_Cleaned_Data'!$L:$L,'3_Cleaned_Data'!$B:$B,$A17,'3_Cleaned_Data'!$C:$C,E$9)</f>
        <v>366252.99</v>
      </c>
      <c r="F17" s="24">
        <f t="shared" si="3"/>
        <v>1339175.0900000001</v>
      </c>
    </row>
    <row r="18" spans="1:6" x14ac:dyDescent="0.35">
      <c r="A18" t="s">
        <v>148</v>
      </c>
      <c r="B18" s="24">
        <f>SUMIFS('3_Cleaned_Data'!$L:$L,'3_Cleaned_Data'!$B:$B,$A18,'3_Cleaned_Data'!$C:$C,B$9)</f>
        <v>499697.01</v>
      </c>
      <c r="C18" s="24">
        <f>SUMIFS('3_Cleaned_Data'!$L:$L,'3_Cleaned_Data'!$B:$B,$A18,'3_Cleaned_Data'!$C:$C,C$9)</f>
        <v>507673.18</v>
      </c>
      <c r="D18" s="24">
        <f>SUMIFS('3_Cleaned_Data'!$L:$L,'3_Cleaned_Data'!$B:$B,$A18,'3_Cleaned_Data'!$C:$C,D$9)</f>
        <v>341871.63</v>
      </c>
      <c r="E18" s="24">
        <f>SUMIFS('3_Cleaned_Data'!$L:$L,'3_Cleaned_Data'!$B:$B,$A18,'3_Cleaned_Data'!$C:$C,E$9)</f>
        <v>372463.94</v>
      </c>
      <c r="F18" s="24">
        <f t="shared" si="3"/>
        <v>1721705.7599999998</v>
      </c>
    </row>
    <row r="19" spans="1:6" x14ac:dyDescent="0.35">
      <c r="A19" t="s">
        <v>89</v>
      </c>
      <c r="B19" s="24">
        <f>SUMIFS('3_Cleaned_Data'!$L:$L,'3_Cleaned_Data'!$B:$B,$A19,'3_Cleaned_Data'!$C:$C,B$9)</f>
        <v>191816.72999999998</v>
      </c>
      <c r="C19" s="24">
        <f>SUMIFS('3_Cleaned_Data'!$L:$L,'3_Cleaned_Data'!$B:$B,$A19,'3_Cleaned_Data'!$C:$C,C$9)</f>
        <v>169665.07</v>
      </c>
      <c r="D19" s="24">
        <f>SUMIFS('3_Cleaned_Data'!$L:$L,'3_Cleaned_Data'!$B:$B,$A19,'3_Cleaned_Data'!$C:$C,D$9)</f>
        <v>334033.08</v>
      </c>
      <c r="E19" s="24">
        <f>SUMIFS('3_Cleaned_Data'!$L:$L,'3_Cleaned_Data'!$B:$B,$A19,'3_Cleaned_Data'!$C:$C,E$9)</f>
        <v>196026.61</v>
      </c>
      <c r="F19" s="24">
        <f t="shared" si="3"/>
        <v>891541.49</v>
      </c>
    </row>
    <row r="20" spans="1:6" x14ac:dyDescent="0.35">
      <c r="A20" s="4" t="s">
        <v>290</v>
      </c>
      <c r="F20" s="24">
        <f>SUM(F10:F19)</f>
        <v>13025726.58</v>
      </c>
    </row>
    <row r="23" spans="1:6" x14ac:dyDescent="0.35">
      <c r="A23" s="25" t="s">
        <v>268</v>
      </c>
      <c r="B23" s="25" t="s">
        <v>291</v>
      </c>
      <c r="C23" s="25" t="s">
        <v>292</v>
      </c>
      <c r="D23" s="25" t="s">
        <v>283</v>
      </c>
      <c r="E23" s="25" t="s">
        <v>284</v>
      </c>
    </row>
    <row r="24" spans="1:6" x14ac:dyDescent="0.35">
      <c r="A24" t="s">
        <v>118</v>
      </c>
      <c r="B24">
        <f>SUMIF('3_Cleaned_Data'!$D:$D,A24,'3_Cleaned_Data'!$K:$K)</f>
        <v>1082903.7899999998</v>
      </c>
      <c r="C24">
        <f>SUMIF('3_Cleaned_Data'!$D:$D,A24,'3_Cleaned_Data'!$L:$L)</f>
        <v>1149004.3900000001</v>
      </c>
      <c r="D24">
        <f>C24-B24</f>
        <v>66100.600000000326</v>
      </c>
      <c r="E24" s="20">
        <f>D24/B24</f>
        <v>6.1040140971341819E-2</v>
      </c>
    </row>
    <row r="25" spans="1:6" x14ac:dyDescent="0.35">
      <c r="A25" t="s">
        <v>16</v>
      </c>
      <c r="B25">
        <f>SUMIF('3_Cleaned_Data'!$D:$D,A25,'3_Cleaned_Data'!$K:$K)</f>
        <v>2033764.1400000001</v>
      </c>
      <c r="C25">
        <f>SUMIF('3_Cleaned_Data'!$D:$D,A25,'3_Cleaned_Data'!$L:$L)</f>
        <v>2191020.7400000002</v>
      </c>
      <c r="D25">
        <f t="shared" ref="D25:D33" si="4">C25-B25</f>
        <v>157256.60000000009</v>
      </c>
      <c r="E25" s="20">
        <f t="shared" ref="E25:E33" si="5">D25/B25</f>
        <v>7.7322928901676913E-2</v>
      </c>
    </row>
    <row r="26" spans="1:6" x14ac:dyDescent="0.35">
      <c r="A26" t="s">
        <v>42</v>
      </c>
      <c r="B26">
        <f>SUMIF('3_Cleaned_Data'!$D:$D,A26,'3_Cleaned_Data'!$K:$K)</f>
        <v>552435.30000000005</v>
      </c>
      <c r="C26">
        <f>SUMIF('3_Cleaned_Data'!$D:$D,A26,'3_Cleaned_Data'!$L:$L)</f>
        <v>532861.74</v>
      </c>
      <c r="D26">
        <f t="shared" si="4"/>
        <v>-19573.560000000056</v>
      </c>
      <c r="E26" s="20">
        <f t="shared" si="5"/>
        <v>-3.5431407080612071E-2</v>
      </c>
    </row>
    <row r="27" spans="1:6" x14ac:dyDescent="0.35">
      <c r="A27" t="s">
        <v>25</v>
      </c>
      <c r="B27">
        <f>SUMIF('3_Cleaned_Data'!$D:$D,A27,'3_Cleaned_Data'!$K:$K)</f>
        <v>1585915.0500000003</v>
      </c>
      <c r="C27">
        <f>SUMIF('3_Cleaned_Data'!$D:$D,A27,'3_Cleaned_Data'!$L:$L)</f>
        <v>1521288.09</v>
      </c>
      <c r="D27">
        <f t="shared" si="4"/>
        <v>-64626.960000000196</v>
      </c>
      <c r="E27" s="20">
        <f t="shared" si="5"/>
        <v>-4.0750581186552323E-2</v>
      </c>
    </row>
    <row r="28" spans="1:6" x14ac:dyDescent="0.35">
      <c r="A28" t="s">
        <v>51</v>
      </c>
      <c r="B28">
        <f>SUMIF('3_Cleaned_Data'!$D:$D,A28,'3_Cleaned_Data'!$K:$K)</f>
        <v>1895980.62</v>
      </c>
      <c r="C28">
        <f>SUMIF('3_Cleaned_Data'!$D:$D,A28,'3_Cleaned_Data'!$L:$L)</f>
        <v>1770291.4</v>
      </c>
      <c r="D28">
        <f t="shared" si="4"/>
        <v>-125689.2200000002</v>
      </c>
      <c r="E28" s="20">
        <f t="shared" si="5"/>
        <v>-6.6292460310063819E-2</v>
      </c>
    </row>
    <row r="29" spans="1:6" x14ac:dyDescent="0.35">
      <c r="A29" t="s">
        <v>66</v>
      </c>
      <c r="B29">
        <f>SUMIF('3_Cleaned_Data'!$D:$D,A29,'3_Cleaned_Data'!$K:$K)</f>
        <v>949641.63</v>
      </c>
      <c r="C29">
        <f>SUMIF('3_Cleaned_Data'!$D:$D,A29,'3_Cleaned_Data'!$L:$L)</f>
        <v>851720.4</v>
      </c>
      <c r="D29">
        <f t="shared" si="4"/>
        <v>-97921.229999999981</v>
      </c>
      <c r="E29" s="20">
        <f t="shared" si="5"/>
        <v>-0.10311387675790917</v>
      </c>
    </row>
    <row r="30" spans="1:6" x14ac:dyDescent="0.35">
      <c r="A30" t="s">
        <v>74</v>
      </c>
      <c r="B30">
        <f>SUMIF('3_Cleaned_Data'!$D:$D,A30,'3_Cleaned_Data'!$K:$K)</f>
        <v>1219328.8700000001</v>
      </c>
      <c r="C30">
        <f>SUMIF('3_Cleaned_Data'!$D:$D,A30,'3_Cleaned_Data'!$L:$L)</f>
        <v>1205408.03</v>
      </c>
      <c r="D30">
        <f t="shared" si="4"/>
        <v>-13920.840000000084</v>
      </c>
      <c r="E30" s="20">
        <f t="shared" si="5"/>
        <v>-1.141680504948602E-2</v>
      </c>
    </row>
    <row r="31" spans="1:6" x14ac:dyDescent="0.35">
      <c r="A31" t="s">
        <v>153</v>
      </c>
      <c r="B31">
        <f>SUMIF('3_Cleaned_Data'!$D:$D,A31,'3_Cleaned_Data'!$K:$K)</f>
        <v>1026484.05</v>
      </c>
      <c r="C31">
        <f>SUMIF('3_Cleaned_Data'!$D:$D,A31,'3_Cleaned_Data'!$L:$L)</f>
        <v>998108.41999999993</v>
      </c>
      <c r="D31">
        <f t="shared" si="4"/>
        <v>-28375.630000000121</v>
      </c>
      <c r="E31" s="20">
        <f t="shared" si="5"/>
        <v>-2.7643517695184958E-2</v>
      </c>
    </row>
    <row r="32" spans="1:6" x14ac:dyDescent="0.35">
      <c r="A32" t="s">
        <v>34</v>
      </c>
      <c r="B32">
        <f>SUMIF('3_Cleaned_Data'!$D:$D,A32,'3_Cleaned_Data'!$K:$K)</f>
        <v>1553345.47</v>
      </c>
      <c r="C32">
        <f>SUMIF('3_Cleaned_Data'!$D:$D,A32,'3_Cleaned_Data'!$L:$L)</f>
        <v>1599983.6500000001</v>
      </c>
      <c r="D32">
        <f t="shared" si="4"/>
        <v>46638.180000000168</v>
      </c>
      <c r="E32" s="20">
        <f t="shared" si="5"/>
        <v>3.0024344809786691E-2</v>
      </c>
    </row>
    <row r="33" spans="1:5" x14ac:dyDescent="0.35">
      <c r="A33" t="s">
        <v>91</v>
      </c>
      <c r="B33">
        <f>SUMIF('3_Cleaned_Data'!$D:$D,A33,'3_Cleaned_Data'!$K:$K)</f>
        <v>1174648.42</v>
      </c>
      <c r="C33">
        <f>SUMIF('3_Cleaned_Data'!$D:$D,A33,'3_Cleaned_Data'!$L:$L)</f>
        <v>1206039.72</v>
      </c>
      <c r="D33">
        <f t="shared" si="4"/>
        <v>31391.300000000047</v>
      </c>
      <c r="E33" s="20">
        <f t="shared" si="5"/>
        <v>2.6723996274561922E-2</v>
      </c>
    </row>
    <row r="34" spans="1:5" x14ac:dyDescent="0.35">
      <c r="A34" s="4" t="s">
        <v>293</v>
      </c>
      <c r="B34">
        <f>SUM(B24:B33)</f>
        <v>13074447.34</v>
      </c>
      <c r="C34">
        <f>SUM(C24:C33)</f>
        <v>13025726.58</v>
      </c>
      <c r="D34">
        <f>SUM(D24:D33)</f>
        <v>-48720.760000000009</v>
      </c>
      <c r="E34" s="20">
        <f>D34/B34</f>
        <v>-3.7264106644832001E-3</v>
      </c>
    </row>
  </sheetData>
  <conditionalFormatting sqref="D2:D5">
    <cfRule type="cellIs" dxfId="6" priority="1" operator="lessThanOrEqual">
      <formula>0</formula>
    </cfRule>
    <cfRule type="cellIs" dxfId="5" priority="2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FAA3C-32F0-4412-915A-D29BCFCBD878}">
  <sheetPr>
    <tabColor rgb="FFFF0000"/>
  </sheetPr>
  <dimension ref="A1:H49"/>
  <sheetViews>
    <sheetView topLeftCell="A40" zoomScale="99" zoomScaleNormal="99" workbookViewId="0">
      <selection activeCell="C50" sqref="C50"/>
    </sheetView>
  </sheetViews>
  <sheetFormatPr defaultRowHeight="14.5" x14ac:dyDescent="0.35"/>
  <cols>
    <col min="1" max="1" width="22.26953125" bestFit="1" customWidth="1"/>
    <col min="2" max="8" width="18.6328125" customWidth="1"/>
  </cols>
  <sheetData>
    <row r="1" spans="1:8" x14ac:dyDescent="0.35">
      <c r="A1" s="5" t="s">
        <v>294</v>
      </c>
      <c r="B1" s="5" t="s">
        <v>286</v>
      </c>
      <c r="C1" s="5" t="s">
        <v>268</v>
      </c>
      <c r="D1" s="5" t="s">
        <v>281</v>
      </c>
      <c r="E1" s="5" t="s">
        <v>282</v>
      </c>
      <c r="F1" s="5" t="s">
        <v>283</v>
      </c>
      <c r="G1" s="5" t="s">
        <v>284</v>
      </c>
      <c r="H1" s="5" t="s">
        <v>295</v>
      </c>
    </row>
    <row r="2" spans="1:8" x14ac:dyDescent="0.35">
      <c r="A2" t="str">
        <f>'3_Cleaned_Data'!B2</f>
        <v>Mitte Office Tower</v>
      </c>
      <c r="B2" t="str">
        <f>'3_Cleaned_Data'!C2</f>
        <v>Foundation</v>
      </c>
      <c r="C2" t="str">
        <f>'3_Cleaned_Data'!D2</f>
        <v>STRABAG SE</v>
      </c>
      <c r="D2">
        <f>'3_Cleaned_Data'!K2</f>
        <v>124256.53</v>
      </c>
      <c r="E2">
        <f>'3_Cleaned_Data'!L2</f>
        <v>135508.74</v>
      </c>
      <c r="F2">
        <f>'3_Cleaned_Data'!M2</f>
        <v>11252.209999999992</v>
      </c>
      <c r="G2" s="20">
        <f>'3_Cleaned_Data'!N2</f>
        <v>9.0556287061935428E-2</v>
      </c>
      <c r="H2" t="str">
        <f>IF(G2&gt;0.1,"Over Budget",IF(G2&gt;0,"Watch","On Track"))</f>
        <v>Watch</v>
      </c>
    </row>
    <row r="3" spans="1:8" x14ac:dyDescent="0.35">
      <c r="A3" t="str">
        <f>'3_Cleaned_Data'!B3</f>
        <v>Friedrichshain Loft</v>
      </c>
      <c r="B3" t="str">
        <f>'3_Cleaned_Data'!C3</f>
        <v>Structure</v>
      </c>
      <c r="C3" t="str">
        <f>'3_Cleaned_Data'!D3</f>
        <v>Max Bögl</v>
      </c>
      <c r="D3">
        <f>'3_Cleaned_Data'!K3</f>
        <v>203735.54</v>
      </c>
      <c r="E3">
        <f>'3_Cleaned_Data'!L3</f>
        <v>195214.38999999998</v>
      </c>
      <c r="F3">
        <f>'3_Cleaned_Data'!M3</f>
        <v>-8521.1500000000233</v>
      </c>
      <c r="G3" s="20">
        <f>'3_Cleaned_Data'!N3</f>
        <v>-4.1824563353060652E-2</v>
      </c>
      <c r="H3" t="str">
        <f t="shared" ref="H3:H41" si="0">IF(G3&gt;0.1,"Over Budget",IF(G3&gt;0,"Watch","On Track"))</f>
        <v>On Track</v>
      </c>
    </row>
    <row r="4" spans="1:8" x14ac:dyDescent="0.35">
      <c r="A4" t="str">
        <f>'3_Cleaned_Data'!B4</f>
        <v>Prenzlauer Berg Retail</v>
      </c>
      <c r="B4" t="str">
        <f>'3_Cleaned_Data'!C4</f>
        <v>Finishing</v>
      </c>
      <c r="C4" t="str">
        <f>'3_Cleaned_Data'!D4</f>
        <v>Bilfinger SE</v>
      </c>
      <c r="D4">
        <f>'3_Cleaned_Data'!K4</f>
        <v>296824.15999999997</v>
      </c>
      <c r="E4">
        <f>'3_Cleaned_Data'!L4</f>
        <v>262043.34</v>
      </c>
      <c r="F4">
        <f>'3_Cleaned_Data'!M4</f>
        <v>-34780.819999999978</v>
      </c>
      <c r="G4" s="20">
        <f>'3_Cleaned_Data'!N4</f>
        <v>-0.11717651285528773</v>
      </c>
      <c r="H4" t="str">
        <f t="shared" si="0"/>
        <v>On Track</v>
      </c>
    </row>
    <row r="5" spans="1:8" x14ac:dyDescent="0.35">
      <c r="A5" t="str">
        <f>'3_Cleaned_Data'!B5</f>
        <v>Kreuzberg Residential</v>
      </c>
      <c r="B5" t="str">
        <f>'3_Cleaned_Data'!C5</f>
        <v>Structure</v>
      </c>
      <c r="C5" t="str">
        <f>'3_Cleaned_Data'!D5</f>
        <v>Züblin AG</v>
      </c>
      <c r="D5">
        <f>'3_Cleaned_Data'!K5</f>
        <v>228039.86</v>
      </c>
      <c r="E5">
        <f>'3_Cleaned_Data'!L5</f>
        <v>245179.53999999998</v>
      </c>
      <c r="F5">
        <f>'3_Cleaned_Data'!M5</f>
        <v>17139.679999999993</v>
      </c>
      <c r="G5" s="20">
        <f>'3_Cleaned_Data'!N5</f>
        <v>7.5160895117195717E-2</v>
      </c>
      <c r="H5" t="str">
        <f t="shared" si="0"/>
        <v>Watch</v>
      </c>
    </row>
    <row r="6" spans="1:8" x14ac:dyDescent="0.35">
      <c r="A6" t="str">
        <f>'3_Cleaned_Data'!B6</f>
        <v>Kreuzberg Residential</v>
      </c>
      <c r="B6" t="str">
        <f>'3_Cleaned_Data'!C6</f>
        <v>Mep</v>
      </c>
      <c r="C6" t="str">
        <f>'3_Cleaned_Data'!D6</f>
        <v>Goldbeck GmbH</v>
      </c>
      <c r="D6">
        <f>'3_Cleaned_Data'!K6</f>
        <v>263606.93</v>
      </c>
      <c r="E6">
        <f>'3_Cleaned_Data'!L6</f>
        <v>258399.15000000002</v>
      </c>
      <c r="F6">
        <f>'3_Cleaned_Data'!M6</f>
        <v>-5207.7799999999697</v>
      </c>
      <c r="G6" s="20">
        <f>'3_Cleaned_Data'!N6</f>
        <v>-1.9755853914766086E-2</v>
      </c>
      <c r="H6" t="str">
        <f t="shared" si="0"/>
        <v>On Track</v>
      </c>
    </row>
    <row r="7" spans="1:8" x14ac:dyDescent="0.35">
      <c r="A7" t="str">
        <f>'3_Cleaned_Data'!B7</f>
        <v>Charlottenburg Hotel</v>
      </c>
      <c r="B7" t="str">
        <f>'3_Cleaned_Data'!C7</f>
        <v>Finishing</v>
      </c>
      <c r="C7" t="str">
        <f>'3_Cleaned_Data'!D7</f>
        <v>Bilfinger SE</v>
      </c>
      <c r="D7">
        <f>'3_Cleaned_Data'!K7</f>
        <v>234773.98</v>
      </c>
      <c r="E7">
        <f>'3_Cleaned_Data'!L7</f>
        <v>227498.97999999998</v>
      </c>
      <c r="F7">
        <f>'3_Cleaned_Data'!M7</f>
        <v>-7275.0000000000291</v>
      </c>
      <c r="G7" s="20">
        <f>'3_Cleaned_Data'!N7</f>
        <v>-3.0987249949930691E-2</v>
      </c>
      <c r="H7" t="str">
        <f t="shared" si="0"/>
        <v>On Track</v>
      </c>
    </row>
    <row r="8" spans="1:8" x14ac:dyDescent="0.35">
      <c r="A8" t="str">
        <f>'3_Cleaned_Data'!B8</f>
        <v>Mitte Office Tower</v>
      </c>
      <c r="B8" t="str">
        <f>'3_Cleaned_Data'!C8</f>
        <v>Mep</v>
      </c>
      <c r="C8" t="str">
        <f>'3_Cleaned_Data'!D8</f>
        <v>Hochtief AG</v>
      </c>
      <c r="D8">
        <f>'3_Cleaned_Data'!K8</f>
        <v>523414.42</v>
      </c>
      <c r="E8">
        <f>'3_Cleaned_Data'!L8</f>
        <v>479256.46</v>
      </c>
      <c r="F8">
        <f>'3_Cleaned_Data'!M8</f>
        <v>-44157.959999999963</v>
      </c>
      <c r="G8" s="20">
        <f>'3_Cleaned_Data'!N8</f>
        <v>-8.436519574680415E-2</v>
      </c>
      <c r="H8" t="str">
        <f t="shared" si="0"/>
        <v>On Track</v>
      </c>
    </row>
    <row r="9" spans="1:8" x14ac:dyDescent="0.35">
      <c r="A9" t="str">
        <f>'3_Cleaned_Data'!B9</f>
        <v>Spandau Logistics Hub</v>
      </c>
      <c r="B9" t="str">
        <f>'3_Cleaned_Data'!C9</f>
        <v>Structure</v>
      </c>
      <c r="C9" t="str">
        <f>'3_Cleaned_Data'!D9</f>
        <v>Ed. Züblin</v>
      </c>
      <c r="D9">
        <f>'3_Cleaned_Data'!K9</f>
        <v>360540.88</v>
      </c>
      <c r="E9">
        <f>'3_Cleaned_Data'!L9</f>
        <v>423843.31</v>
      </c>
      <c r="F9">
        <f>'3_Cleaned_Data'!M9</f>
        <v>63302.429999999993</v>
      </c>
      <c r="G9" s="20">
        <f>'3_Cleaned_Data'!N9</f>
        <v>0.17557628971227893</v>
      </c>
      <c r="H9" t="str">
        <f t="shared" si="0"/>
        <v>Over Budget</v>
      </c>
    </row>
    <row r="10" spans="1:8" x14ac:dyDescent="0.35">
      <c r="A10" t="str">
        <f>'3_Cleaned_Data'!B10</f>
        <v>Wedding School Extension</v>
      </c>
      <c r="B10" t="str">
        <f>'3_Cleaned_Data'!C10</f>
        <v>Mep</v>
      </c>
      <c r="C10" t="str">
        <f>'3_Cleaned_Data'!D10</f>
        <v>Goldbeck GmbH</v>
      </c>
      <c r="D10">
        <f>'3_Cleaned_Data'!K10</f>
        <v>418135.98</v>
      </c>
      <c r="E10">
        <f>'3_Cleaned_Data'!L10</f>
        <v>366252.99</v>
      </c>
      <c r="F10">
        <f>'3_Cleaned_Data'!M10</f>
        <v>-51882.989999999991</v>
      </c>
      <c r="G10" s="20">
        <f>'3_Cleaned_Data'!N10</f>
        <v>-0.1240816205292833</v>
      </c>
      <c r="H10" t="str">
        <f t="shared" si="0"/>
        <v>On Track</v>
      </c>
    </row>
    <row r="11" spans="1:8" x14ac:dyDescent="0.35">
      <c r="A11" t="str">
        <f>'3_Cleaned_Data'!B11</f>
        <v>Lichtenberg Warehouse</v>
      </c>
      <c r="B11" t="str">
        <f>'3_Cleaned_Data'!C11</f>
        <v>Finishing</v>
      </c>
      <c r="C11" t="str">
        <f>'3_Cleaned_Data'!D11</f>
        <v>Porr GmbH</v>
      </c>
      <c r="D11">
        <f>'3_Cleaned_Data'!K11</f>
        <v>356054.64</v>
      </c>
      <c r="E11">
        <f>'3_Cleaned_Data'!L11</f>
        <v>334033.08</v>
      </c>
      <c r="F11">
        <f>'3_Cleaned_Data'!M11</f>
        <v>-22021.559999999998</v>
      </c>
      <c r="G11" s="20">
        <f>'3_Cleaned_Data'!N11</f>
        <v>-6.1848821854982701E-2</v>
      </c>
      <c r="H11" t="str">
        <f t="shared" si="0"/>
        <v>On Track</v>
      </c>
    </row>
    <row r="12" spans="1:8" x14ac:dyDescent="0.35">
      <c r="A12" t="str">
        <f>'3_Cleaned_Data'!B12</f>
        <v>Neukölln Mixed-Use</v>
      </c>
      <c r="B12" t="str">
        <f>'3_Cleaned_Data'!C12</f>
        <v>Foundation</v>
      </c>
      <c r="C12" t="str">
        <f>'3_Cleaned_Data'!D12</f>
        <v>STRABAG SE</v>
      </c>
      <c r="D12">
        <f>'3_Cleaned_Data'!K12</f>
        <v>293919.34000000003</v>
      </c>
      <c r="E12">
        <f>'3_Cleaned_Data'!L12</f>
        <v>337752.87</v>
      </c>
      <c r="F12">
        <f>'3_Cleaned_Data'!M12</f>
        <v>43833.52999999997</v>
      </c>
      <c r="G12" s="20">
        <f>'3_Cleaned_Data'!N12</f>
        <v>0.14913455507895454</v>
      </c>
      <c r="H12" t="str">
        <f t="shared" si="0"/>
        <v>Over Budget</v>
      </c>
    </row>
    <row r="13" spans="1:8" x14ac:dyDescent="0.35">
      <c r="A13" t="str">
        <f>'3_Cleaned_Data'!B13</f>
        <v>Charlottenburg Hotel</v>
      </c>
      <c r="B13" t="str">
        <f>'3_Cleaned_Data'!C13</f>
        <v>Structure</v>
      </c>
      <c r="C13" t="str">
        <f>'3_Cleaned_Data'!D13</f>
        <v>Goldbeck GmbH</v>
      </c>
      <c r="D13">
        <f>'3_Cleaned_Data'!K13</f>
        <v>208894.01</v>
      </c>
      <c r="E13">
        <f>'3_Cleaned_Data'!L13</f>
        <v>204756.47999999998</v>
      </c>
      <c r="F13">
        <f>'3_Cleaned_Data'!M13</f>
        <v>-4137.5300000000279</v>
      </c>
      <c r="G13" s="20">
        <f>'3_Cleaned_Data'!N13</f>
        <v>-1.980683888446599E-2</v>
      </c>
      <c r="H13" t="str">
        <f t="shared" si="0"/>
        <v>On Track</v>
      </c>
    </row>
    <row r="14" spans="1:8" x14ac:dyDescent="0.35">
      <c r="A14" t="str">
        <f>'3_Cleaned_Data'!B14</f>
        <v>Prenzlauer Berg Retail</v>
      </c>
      <c r="B14" t="str">
        <f>'3_Cleaned_Data'!C14</f>
        <v>Mep</v>
      </c>
      <c r="C14" t="str">
        <f>'3_Cleaned_Data'!D14</f>
        <v>Goldbeck GmbH</v>
      </c>
      <c r="D14">
        <f>'3_Cleaned_Data'!K14</f>
        <v>351410.57</v>
      </c>
      <c r="E14">
        <f>'3_Cleaned_Data'!L14</f>
        <v>309300.87</v>
      </c>
      <c r="F14">
        <f>'3_Cleaned_Data'!M14</f>
        <v>-42109.700000000012</v>
      </c>
      <c r="G14" s="20">
        <f>'3_Cleaned_Data'!N14</f>
        <v>-0.11983048773973991</v>
      </c>
      <c r="H14" t="str">
        <f t="shared" si="0"/>
        <v>On Track</v>
      </c>
    </row>
    <row r="15" spans="1:8" x14ac:dyDescent="0.35">
      <c r="A15" t="str">
        <f>'3_Cleaned_Data'!B15</f>
        <v>Mitte Office Tower</v>
      </c>
      <c r="B15" t="str">
        <f>'3_Cleaned_Data'!C15</f>
        <v>Finishing</v>
      </c>
      <c r="C15" t="str">
        <f>'3_Cleaned_Data'!D15</f>
        <v>Bauer GmbH</v>
      </c>
      <c r="D15">
        <f>'3_Cleaned_Data'!K15</f>
        <v>364071.6</v>
      </c>
      <c r="E15">
        <f>'3_Cleaned_Data'!L15</f>
        <v>372724.66000000003</v>
      </c>
      <c r="F15">
        <f>'3_Cleaned_Data'!M15</f>
        <v>8653.0600000000559</v>
      </c>
      <c r="G15" s="20">
        <f>'3_Cleaned_Data'!N15</f>
        <v>2.3767467717888614E-2</v>
      </c>
      <c r="H15" t="str">
        <f t="shared" si="0"/>
        <v>Watch</v>
      </c>
    </row>
    <row r="16" spans="1:8" x14ac:dyDescent="0.35">
      <c r="A16" t="str">
        <f>'3_Cleaned_Data'!B16</f>
        <v>Lichtenberg Warehouse</v>
      </c>
      <c r="B16" t="str">
        <f>'3_Cleaned_Data'!C16</f>
        <v>Foundation</v>
      </c>
      <c r="C16" t="str">
        <f>'3_Cleaned_Data'!D16</f>
        <v>Bauer GmbH</v>
      </c>
      <c r="D16">
        <f>'3_Cleaned_Data'!K16</f>
        <v>204968.36</v>
      </c>
      <c r="E16">
        <f>'3_Cleaned_Data'!L16</f>
        <v>191816.72999999998</v>
      </c>
      <c r="F16">
        <f>'3_Cleaned_Data'!M16</f>
        <v>-13151.630000000005</v>
      </c>
      <c r="G16" s="20">
        <f>'3_Cleaned_Data'!N16</f>
        <v>-6.4164195878817623E-2</v>
      </c>
      <c r="H16" t="str">
        <f t="shared" si="0"/>
        <v>On Track</v>
      </c>
    </row>
    <row r="17" spans="1:8" x14ac:dyDescent="0.35">
      <c r="A17" t="str">
        <f>'3_Cleaned_Data'!B17</f>
        <v>Kreuzberg Residential</v>
      </c>
      <c r="B17" t="str">
        <f>'3_Cleaned_Data'!C17</f>
        <v>Finishing</v>
      </c>
      <c r="C17" t="str">
        <f>'3_Cleaned_Data'!D17</f>
        <v>Züblin AG</v>
      </c>
      <c r="D17">
        <f>'3_Cleaned_Data'!K17</f>
        <v>324395.44</v>
      </c>
      <c r="E17">
        <f>'3_Cleaned_Data'!L17</f>
        <v>287682.2</v>
      </c>
      <c r="F17">
        <f>'3_Cleaned_Data'!M17</f>
        <v>-36713.239999999991</v>
      </c>
      <c r="G17" s="20">
        <f>'3_Cleaned_Data'!N17</f>
        <v>-0.11317434055176605</v>
      </c>
      <c r="H17" t="str">
        <f t="shared" si="0"/>
        <v>On Track</v>
      </c>
    </row>
    <row r="18" spans="1:8" x14ac:dyDescent="0.35">
      <c r="A18" t="str">
        <f>'3_Cleaned_Data'!B18</f>
        <v>Spandau Logistics Hub</v>
      </c>
      <c r="B18" t="str">
        <f>'3_Cleaned_Data'!C18</f>
        <v>Mep</v>
      </c>
      <c r="C18" t="str">
        <f>'3_Cleaned_Data'!D18</f>
        <v>Bilfinger SE</v>
      </c>
      <c r="D18">
        <f>'3_Cleaned_Data'!K18</f>
        <v>426662.14</v>
      </c>
      <c r="E18">
        <f>'3_Cleaned_Data'!L18</f>
        <v>492076.94</v>
      </c>
      <c r="F18">
        <f>'3_Cleaned_Data'!M18</f>
        <v>65414.799999999988</v>
      </c>
      <c r="G18" s="20">
        <f>'3_Cleaned_Data'!N18</f>
        <v>0.15331756410353162</v>
      </c>
      <c r="H18" t="str">
        <f t="shared" si="0"/>
        <v>Over Budget</v>
      </c>
    </row>
    <row r="19" spans="1:8" x14ac:dyDescent="0.35">
      <c r="A19" t="str">
        <f>'3_Cleaned_Data'!B19</f>
        <v>Prenzlauer Berg Retail</v>
      </c>
      <c r="B19" t="str">
        <f>'3_Cleaned_Data'!C19</f>
        <v>Structure</v>
      </c>
      <c r="C19" t="str">
        <f>'3_Cleaned_Data'!D19</f>
        <v>STRABAG SE</v>
      </c>
      <c r="D19">
        <f>'3_Cleaned_Data'!K19</f>
        <v>439784.02</v>
      </c>
      <c r="E19">
        <f>'3_Cleaned_Data'!L19</f>
        <v>490911.25</v>
      </c>
      <c r="F19">
        <f>'3_Cleaned_Data'!M19</f>
        <v>51127.229999999981</v>
      </c>
      <c r="G19" s="20">
        <f>'3_Cleaned_Data'!N19</f>
        <v>0.11625531550691628</v>
      </c>
      <c r="H19" t="str">
        <f t="shared" si="0"/>
        <v>Over Budget</v>
      </c>
    </row>
    <row r="20" spans="1:8" x14ac:dyDescent="0.35">
      <c r="A20" t="str">
        <f>'3_Cleaned_Data'!B20</f>
        <v>Lichtenberg Warehouse</v>
      </c>
      <c r="B20" t="str">
        <f>'3_Cleaned_Data'!C20</f>
        <v>Mep</v>
      </c>
      <c r="C20" t="str">
        <f>'3_Cleaned_Data'!D20</f>
        <v>Bilfinger SE</v>
      </c>
      <c r="D20">
        <f>'3_Cleaned_Data'!K20</f>
        <v>221923.51</v>
      </c>
      <c r="E20">
        <f>'3_Cleaned_Data'!L20</f>
        <v>196026.61</v>
      </c>
      <c r="F20">
        <f>'3_Cleaned_Data'!M20</f>
        <v>-25896.900000000023</v>
      </c>
      <c r="G20" s="20">
        <f>'3_Cleaned_Data'!N20</f>
        <v>-0.11669290919200054</v>
      </c>
      <c r="H20" t="str">
        <f t="shared" si="0"/>
        <v>On Track</v>
      </c>
    </row>
    <row r="21" spans="1:8" x14ac:dyDescent="0.35">
      <c r="A21" t="str">
        <f>'3_Cleaned_Data'!B21</f>
        <v>Steglitz Medical Centre</v>
      </c>
      <c r="B21" t="str">
        <f>'3_Cleaned_Data'!C21</f>
        <v>Mep</v>
      </c>
      <c r="C21" t="str">
        <f>'3_Cleaned_Data'!D21</f>
        <v>Hochtief AG</v>
      </c>
      <c r="D21">
        <f>'3_Cleaned_Data'!K21</f>
        <v>426227.21</v>
      </c>
      <c r="E21">
        <f>'3_Cleaned_Data'!L21</f>
        <v>372463.94</v>
      </c>
      <c r="F21">
        <f>'3_Cleaned_Data'!M21</f>
        <v>-53763.270000000019</v>
      </c>
      <c r="G21" s="20">
        <f>'3_Cleaned_Data'!N21</f>
        <v>-0.12613758281645138</v>
      </c>
      <c r="H21" t="str">
        <f t="shared" si="0"/>
        <v>On Track</v>
      </c>
    </row>
    <row r="22" spans="1:8" x14ac:dyDescent="0.35">
      <c r="A22" t="str">
        <f>'3_Cleaned_Data'!B22</f>
        <v>Steglitz Medical Centre</v>
      </c>
      <c r="B22" t="str">
        <f>'3_Cleaned_Data'!C22</f>
        <v>Finishing</v>
      </c>
      <c r="C22" t="str">
        <f>'3_Cleaned_Data'!D22</f>
        <v>Implenia DE</v>
      </c>
      <c r="D22">
        <f>'3_Cleaned_Data'!K22</f>
        <v>379955.07</v>
      </c>
      <c r="E22">
        <f>'3_Cleaned_Data'!L22</f>
        <v>341871.63</v>
      </c>
      <c r="F22">
        <f>'3_Cleaned_Data'!M22</f>
        <v>-38083.440000000002</v>
      </c>
      <c r="G22" s="20">
        <f>'3_Cleaned_Data'!N22</f>
        <v>-0.10023142999513074</v>
      </c>
      <c r="H22" t="str">
        <f t="shared" si="0"/>
        <v>On Track</v>
      </c>
    </row>
    <row r="23" spans="1:8" x14ac:dyDescent="0.35">
      <c r="A23" t="str">
        <f>'3_Cleaned_Data'!B23</f>
        <v>Charlottenburg Hotel</v>
      </c>
      <c r="B23" t="str">
        <f>'3_Cleaned_Data'!C23</f>
        <v>Mep</v>
      </c>
      <c r="C23" t="str">
        <f>'3_Cleaned_Data'!D23</f>
        <v>Implenia DE</v>
      </c>
      <c r="D23">
        <f>'3_Cleaned_Data'!K23</f>
        <v>435949.93</v>
      </c>
      <c r="E23">
        <f>'3_Cleaned_Data'!L23</f>
        <v>471617.57</v>
      </c>
      <c r="F23">
        <f>'3_Cleaned_Data'!M23</f>
        <v>35667.640000000014</v>
      </c>
      <c r="G23" s="20">
        <f>'3_Cleaned_Data'!N23</f>
        <v>8.1815909455473512E-2</v>
      </c>
      <c r="H23" t="str">
        <f t="shared" si="0"/>
        <v>Watch</v>
      </c>
    </row>
    <row r="24" spans="1:8" x14ac:dyDescent="0.35">
      <c r="A24" t="str">
        <f>'3_Cleaned_Data'!B24</f>
        <v>Prenzlauer Berg Retail</v>
      </c>
      <c r="B24" t="str">
        <f>'3_Cleaned_Data'!C24</f>
        <v>Foundation</v>
      </c>
      <c r="C24" t="str">
        <f>'3_Cleaned_Data'!D24</f>
        <v>Max Bögl</v>
      </c>
      <c r="D24">
        <f>'3_Cleaned_Data'!K24</f>
        <v>464412.86</v>
      </c>
      <c r="E24">
        <f>'3_Cleaned_Data'!L24</f>
        <v>432372.28</v>
      </c>
      <c r="F24">
        <f>'3_Cleaned_Data'!M24</f>
        <v>-32040.579999999958</v>
      </c>
      <c r="G24" s="20">
        <f>'3_Cleaned_Data'!N24</f>
        <v>-6.8991586494826951E-2</v>
      </c>
      <c r="H24" t="str">
        <f t="shared" si="0"/>
        <v>On Track</v>
      </c>
    </row>
    <row r="25" spans="1:8" x14ac:dyDescent="0.35">
      <c r="A25" t="str">
        <f>'3_Cleaned_Data'!B25</f>
        <v>Mitte Office Tower</v>
      </c>
      <c r="B25" t="str">
        <f>'3_Cleaned_Data'!C25</f>
        <v>Structure</v>
      </c>
      <c r="C25" t="str">
        <f>'3_Cleaned_Data'!D25</f>
        <v>Max Bögl</v>
      </c>
      <c r="D25">
        <f>'3_Cleaned_Data'!K25</f>
        <v>268620.96000000002</v>
      </c>
      <c r="E25">
        <f>'3_Cleaned_Data'!L25</f>
        <v>263774.49</v>
      </c>
      <c r="F25">
        <f>'3_Cleaned_Data'!M25</f>
        <v>-4846.4700000000303</v>
      </c>
      <c r="G25" s="20">
        <f>'3_Cleaned_Data'!N25</f>
        <v>-1.8042039608525077E-2</v>
      </c>
      <c r="H25" t="str">
        <f t="shared" si="0"/>
        <v>On Track</v>
      </c>
    </row>
    <row r="26" spans="1:8" x14ac:dyDescent="0.35">
      <c r="A26" t="str">
        <f>'3_Cleaned_Data'!B26</f>
        <v>Spandau Logistics Hub</v>
      </c>
      <c r="B26" t="str">
        <f>'3_Cleaned_Data'!C26</f>
        <v>Foundation</v>
      </c>
      <c r="C26" t="str">
        <f>'3_Cleaned_Data'!D26</f>
        <v>Bauer GmbH</v>
      </c>
      <c r="D26">
        <f>'3_Cleaned_Data'!K26</f>
        <v>341899.67</v>
      </c>
      <c r="E26">
        <f>'3_Cleaned_Data'!L26</f>
        <v>400150.66000000003</v>
      </c>
      <c r="F26">
        <f>'3_Cleaned_Data'!M26</f>
        <v>58250.990000000049</v>
      </c>
      <c r="G26" s="20">
        <f>'3_Cleaned_Data'!N26</f>
        <v>0.17037451366946349</v>
      </c>
      <c r="H26" t="str">
        <f t="shared" si="0"/>
        <v>Over Budget</v>
      </c>
    </row>
    <row r="27" spans="1:8" x14ac:dyDescent="0.35">
      <c r="A27" t="str">
        <f>'3_Cleaned_Data'!B27</f>
        <v>Kreuzberg Residential</v>
      </c>
      <c r="B27" t="str">
        <f>'3_Cleaned_Data'!C27</f>
        <v>Foundation</v>
      </c>
      <c r="C27" t="str">
        <f>'3_Cleaned_Data'!D27</f>
        <v>Porr GmbH</v>
      </c>
      <c r="D27">
        <f>'3_Cleaned_Data'!K27</f>
        <v>166823.72</v>
      </c>
      <c r="E27">
        <f>'3_Cleaned_Data'!L27</f>
        <v>159125.38999999998</v>
      </c>
      <c r="F27">
        <f>'3_Cleaned_Data'!M27</f>
        <v>-7698.3300000000163</v>
      </c>
      <c r="G27" s="20">
        <f>'3_Cleaned_Data'!N27</f>
        <v>-4.6146495234610618E-2</v>
      </c>
      <c r="H27" t="str">
        <f t="shared" si="0"/>
        <v>On Track</v>
      </c>
    </row>
    <row r="28" spans="1:8" x14ac:dyDescent="0.35">
      <c r="A28" t="str">
        <f>'3_Cleaned_Data'!B28</f>
        <v>Spandau Logistics Hub</v>
      </c>
      <c r="B28" t="str">
        <f>'3_Cleaned_Data'!C28</f>
        <v>Finishing</v>
      </c>
      <c r="C28" t="str">
        <f>'3_Cleaned_Data'!D28</f>
        <v>Implenia DE</v>
      </c>
      <c r="D28">
        <f>'3_Cleaned_Data'!K28</f>
        <v>210579.05</v>
      </c>
      <c r="E28">
        <f>'3_Cleaned_Data'!L28</f>
        <v>184619.22</v>
      </c>
      <c r="F28">
        <f>'3_Cleaned_Data'!M28</f>
        <v>-25959.829999999987</v>
      </c>
      <c r="G28" s="20">
        <f>'3_Cleaned_Data'!N28</f>
        <v>-0.12327831282361654</v>
      </c>
      <c r="H28" t="str">
        <f t="shared" si="0"/>
        <v>On Track</v>
      </c>
    </row>
    <row r="29" spans="1:8" x14ac:dyDescent="0.35">
      <c r="A29" t="str">
        <f>'3_Cleaned_Data'!B29</f>
        <v>Wedding School Extension</v>
      </c>
      <c r="B29" t="str">
        <f>'3_Cleaned_Data'!C29</f>
        <v>Finishing</v>
      </c>
      <c r="C29" t="str">
        <f>'3_Cleaned_Data'!D29</f>
        <v>Bilfinger SE</v>
      </c>
      <c r="D29">
        <f>'3_Cleaned_Data'!K29</f>
        <v>373161.68</v>
      </c>
      <c r="E29">
        <f>'3_Cleaned_Data'!L29</f>
        <v>422337.77999999997</v>
      </c>
      <c r="F29">
        <f>'3_Cleaned_Data'!M29</f>
        <v>49176.099999999977</v>
      </c>
      <c r="G29" s="20">
        <f>'3_Cleaned_Data'!N29</f>
        <v>0.13178228804200898</v>
      </c>
      <c r="H29" t="str">
        <f t="shared" si="0"/>
        <v>Over Budget</v>
      </c>
    </row>
    <row r="30" spans="1:8" x14ac:dyDescent="0.35">
      <c r="A30" t="str">
        <f>'3_Cleaned_Data'!B30</f>
        <v>Steglitz Medical Centre</v>
      </c>
      <c r="B30" t="str">
        <f>'3_Cleaned_Data'!C30</f>
        <v>Foundation</v>
      </c>
      <c r="C30" t="str">
        <f>'3_Cleaned_Data'!D30</f>
        <v>Porr GmbH</v>
      </c>
      <c r="D30">
        <f>'3_Cleaned_Data'!K30</f>
        <v>460231.54</v>
      </c>
      <c r="E30">
        <f>'3_Cleaned_Data'!L30</f>
        <v>499697.01</v>
      </c>
      <c r="F30">
        <f>'3_Cleaned_Data'!M30</f>
        <v>39465.47000000003</v>
      </c>
      <c r="G30" s="20">
        <f>'3_Cleaned_Data'!N30</f>
        <v>8.5751337250810827E-2</v>
      </c>
      <c r="H30" t="str">
        <f t="shared" si="0"/>
        <v>Watch</v>
      </c>
    </row>
    <row r="31" spans="1:8" x14ac:dyDescent="0.35">
      <c r="A31" t="str">
        <f>'3_Cleaned_Data'!B31</f>
        <v>Friedrichshain Loft</v>
      </c>
      <c r="B31" t="str">
        <f>'3_Cleaned_Data'!C31</f>
        <v>Foundation</v>
      </c>
      <c r="C31" t="str">
        <f>'3_Cleaned_Data'!D31</f>
        <v>STRABAG SE</v>
      </c>
      <c r="D31">
        <f>'3_Cleaned_Data'!K31</f>
        <v>518392.93</v>
      </c>
      <c r="E31">
        <f>'3_Cleaned_Data'!L31</f>
        <v>506403.46</v>
      </c>
      <c r="F31">
        <f>'3_Cleaned_Data'!M31</f>
        <v>-11989.469999999972</v>
      </c>
      <c r="G31" s="20">
        <f>'3_Cleaned_Data'!N31</f>
        <v>-2.3128151072584983E-2</v>
      </c>
      <c r="H31" t="str">
        <f t="shared" si="0"/>
        <v>On Track</v>
      </c>
    </row>
    <row r="32" spans="1:8" x14ac:dyDescent="0.35">
      <c r="A32" t="str">
        <f>'3_Cleaned_Data'!B32</f>
        <v>Wedding School Extension</v>
      </c>
      <c r="B32" t="str">
        <f>'3_Cleaned_Data'!C32</f>
        <v>Structure</v>
      </c>
      <c r="C32" t="str">
        <f>'3_Cleaned_Data'!D32</f>
        <v>Bauer GmbH</v>
      </c>
      <c r="D32">
        <f>'3_Cleaned_Data'!K32</f>
        <v>171964.16</v>
      </c>
      <c r="E32">
        <f>'3_Cleaned_Data'!L32</f>
        <v>184312.34000000003</v>
      </c>
      <c r="F32">
        <f>'3_Cleaned_Data'!M32</f>
        <v>12348.180000000022</v>
      </c>
      <c r="G32" s="20">
        <f>'3_Cleaned_Data'!N32</f>
        <v>7.1806706699814787E-2</v>
      </c>
      <c r="H32" t="str">
        <f t="shared" si="0"/>
        <v>Watch</v>
      </c>
    </row>
    <row r="33" spans="1:8" x14ac:dyDescent="0.35">
      <c r="A33" t="str">
        <f>'3_Cleaned_Data'!B33</f>
        <v>Lichtenberg Warehouse</v>
      </c>
      <c r="B33" t="str">
        <f>'3_Cleaned_Data'!C33</f>
        <v>Structure</v>
      </c>
      <c r="C33" t="str">
        <f>'3_Cleaned_Data'!D33</f>
        <v>Goldbeck GmbH</v>
      </c>
      <c r="D33">
        <f>'3_Cleaned_Data'!K33</f>
        <v>170679.01</v>
      </c>
      <c r="E33">
        <f>'3_Cleaned_Data'!L33</f>
        <v>169665.07</v>
      </c>
      <c r="F33">
        <f>'3_Cleaned_Data'!M33</f>
        <v>-1013.9400000000023</v>
      </c>
      <c r="G33" s="20">
        <f>'3_Cleaned_Data'!N33</f>
        <v>-5.9406250364353666E-3</v>
      </c>
      <c r="H33" t="str">
        <f t="shared" si="0"/>
        <v>On Track</v>
      </c>
    </row>
    <row r="34" spans="1:8" x14ac:dyDescent="0.35">
      <c r="A34" t="str">
        <f>'3_Cleaned_Data'!B34</f>
        <v>Steglitz Medical Centre</v>
      </c>
      <c r="B34" t="str">
        <f>'3_Cleaned_Data'!C34</f>
        <v>Structure</v>
      </c>
      <c r="C34" t="str">
        <f>'3_Cleaned_Data'!D34</f>
        <v>Ed. Züblin</v>
      </c>
      <c r="D34">
        <f>'3_Cleaned_Data'!K34</f>
        <v>555000.91</v>
      </c>
      <c r="E34">
        <f>'3_Cleaned_Data'!L34</f>
        <v>507673.18</v>
      </c>
      <c r="F34">
        <f>'3_Cleaned_Data'!M34</f>
        <v>-47327.73000000004</v>
      </c>
      <c r="G34" s="20">
        <f>'3_Cleaned_Data'!N34</f>
        <v>-8.5275049368838035E-2</v>
      </c>
      <c r="H34" t="str">
        <f t="shared" si="0"/>
        <v>On Track</v>
      </c>
    </row>
    <row r="35" spans="1:8" x14ac:dyDescent="0.35">
      <c r="A35" t="str">
        <f>'3_Cleaned_Data'!B35</f>
        <v>Friedrichshain Loft</v>
      </c>
      <c r="B35" t="str">
        <f>'3_Cleaned_Data'!C35</f>
        <v>Mep</v>
      </c>
      <c r="C35" t="str">
        <f>'3_Cleaned_Data'!D35</f>
        <v>Goldbeck GmbH</v>
      </c>
      <c r="D35">
        <f>'3_Cleaned_Data'!K35</f>
        <v>483254.12</v>
      </c>
      <c r="E35">
        <f>'3_Cleaned_Data'!L35</f>
        <v>461916.83999999997</v>
      </c>
      <c r="F35">
        <f>'3_Cleaned_Data'!M35</f>
        <v>-21337.280000000028</v>
      </c>
      <c r="G35" s="20">
        <f>'3_Cleaned_Data'!N35</f>
        <v>-4.4153332826215801E-2</v>
      </c>
      <c r="H35" t="str">
        <f t="shared" si="0"/>
        <v>On Track</v>
      </c>
    </row>
    <row r="36" spans="1:8" x14ac:dyDescent="0.35">
      <c r="A36" t="str">
        <f>'3_Cleaned_Data'!B36</f>
        <v>Wedding School Extension</v>
      </c>
      <c r="B36" t="str">
        <f>'3_Cleaned_Data'!C36</f>
        <v>Foundation</v>
      </c>
      <c r="C36" t="str">
        <f>'3_Cleaned_Data'!D36</f>
        <v>STRABAG SE</v>
      </c>
      <c r="D36">
        <f>'3_Cleaned_Data'!K36</f>
        <v>342291.01</v>
      </c>
      <c r="E36">
        <f>'3_Cleaned_Data'!L36</f>
        <v>366271.98000000004</v>
      </c>
      <c r="F36">
        <f>'3_Cleaned_Data'!M36</f>
        <v>23980.97000000003</v>
      </c>
      <c r="G36" s="20">
        <f>'3_Cleaned_Data'!N36</f>
        <v>7.006018066323165E-2</v>
      </c>
      <c r="H36" t="str">
        <f t="shared" si="0"/>
        <v>Watch</v>
      </c>
    </row>
    <row r="37" spans="1:8" x14ac:dyDescent="0.35">
      <c r="A37" t="str">
        <f>'3_Cleaned_Data'!B37</f>
        <v>Neukölln Mixed-Use</v>
      </c>
      <c r="B37" t="str">
        <f>'3_Cleaned_Data'!C37</f>
        <v>Foundation</v>
      </c>
      <c r="C37" t="str">
        <f>'3_Cleaned_Data'!D37</f>
        <v>Max Bögl</v>
      </c>
      <c r="D37">
        <f>'3_Cleaned_Data'!K37</f>
        <v>212509.83</v>
      </c>
      <c r="E37">
        <f>'3_Cleaned_Data'!L37</f>
        <v>238225.11</v>
      </c>
      <c r="F37">
        <f>'3_Cleaned_Data'!M37</f>
        <v>25715.279999999999</v>
      </c>
      <c r="G37" s="20">
        <f>'3_Cleaned_Data'!N37</f>
        <v>0.12100748468906121</v>
      </c>
      <c r="H37" t="str">
        <f t="shared" si="0"/>
        <v>Over Budget</v>
      </c>
    </row>
    <row r="38" spans="1:8" x14ac:dyDescent="0.35">
      <c r="A38" t="str">
        <f>'3_Cleaned_Data'!B38</f>
        <v>Friedrichshain Loft</v>
      </c>
      <c r="B38" t="str">
        <f>'3_Cleaned_Data'!C38</f>
        <v>Finishing</v>
      </c>
      <c r="C38" t="str">
        <f>'3_Cleaned_Data'!D38</f>
        <v>STRABAG SE</v>
      </c>
      <c r="D38">
        <f>'3_Cleaned_Data'!K38</f>
        <v>315120.31</v>
      </c>
      <c r="E38">
        <f>'3_Cleaned_Data'!L38</f>
        <v>354172.44</v>
      </c>
      <c r="F38">
        <f>'3_Cleaned_Data'!M38</f>
        <v>39052.130000000005</v>
      </c>
      <c r="G38" s="20">
        <f>'3_Cleaned_Data'!N38</f>
        <v>0.12392768336639427</v>
      </c>
      <c r="H38" t="str">
        <f t="shared" si="0"/>
        <v>Over Budget</v>
      </c>
    </row>
    <row r="39" spans="1:8" x14ac:dyDescent="0.35">
      <c r="A39" t="str">
        <f>'3_Cleaned_Data'!B39</f>
        <v>Charlottenburg Hotel</v>
      </c>
      <c r="B39" t="str">
        <f>'3_Cleaned_Data'!C39</f>
        <v>Foundation</v>
      </c>
      <c r="C39" t="str">
        <f>'3_Cleaned_Data'!D39</f>
        <v>Porr GmbH</v>
      </c>
      <c r="D39">
        <f>'3_Cleaned_Data'!K39</f>
        <v>191538.52</v>
      </c>
      <c r="E39">
        <f>'3_Cleaned_Data'!L39</f>
        <v>213184.24</v>
      </c>
      <c r="F39">
        <f>'3_Cleaned_Data'!M39</f>
        <v>21645.72</v>
      </c>
      <c r="G39" s="20">
        <f>'3_Cleaned_Data'!N39</f>
        <v>0.1130097486395948</v>
      </c>
      <c r="H39" t="str">
        <f t="shared" si="0"/>
        <v>Over Budget</v>
      </c>
    </row>
    <row r="40" spans="1:8" x14ac:dyDescent="0.35">
      <c r="A40" t="str">
        <f>'3_Cleaned_Data'!B40</f>
        <v>Neukölln Mixed-Use</v>
      </c>
      <c r="B40" t="str">
        <f>'3_Cleaned_Data'!C40</f>
        <v>Structure</v>
      </c>
      <c r="C40" t="str">
        <f>'3_Cleaned_Data'!D40</f>
        <v>Max Bögl</v>
      </c>
      <c r="D40">
        <f>'3_Cleaned_Data'!K40</f>
        <v>436635.86</v>
      </c>
      <c r="E40">
        <f>'3_Cleaned_Data'!L40</f>
        <v>391701.82</v>
      </c>
      <c r="F40">
        <f>'3_Cleaned_Data'!M40</f>
        <v>-44934.039999999979</v>
      </c>
      <c r="G40" s="20">
        <f>'3_Cleaned_Data'!N40</f>
        <v>-0.1029096419153479</v>
      </c>
      <c r="H40" t="str">
        <f t="shared" si="0"/>
        <v>On Track</v>
      </c>
    </row>
    <row r="41" spans="1:8" x14ac:dyDescent="0.35">
      <c r="A41" t="str">
        <f>'3_Cleaned_Data'!B41</f>
        <v>Neukölln Mixed-Use</v>
      </c>
      <c r="B41" t="str">
        <f>'3_Cleaned_Data'!C41</f>
        <v>Finishing</v>
      </c>
      <c r="C41" t="str">
        <f>'3_Cleaned_Data'!D41</f>
        <v>Ed. Züblin</v>
      </c>
      <c r="D41">
        <f>'3_Cleaned_Data'!K41</f>
        <v>303787.08</v>
      </c>
      <c r="E41">
        <f>'3_Cleaned_Data'!L41</f>
        <v>273891.53999999998</v>
      </c>
      <c r="F41">
        <f>'3_Cleaned_Data'!M41</f>
        <v>-29895.540000000037</v>
      </c>
      <c r="G41" s="20">
        <f>'3_Cleaned_Data'!N41</f>
        <v>-9.8409517613454914E-2</v>
      </c>
      <c r="H41" t="str">
        <f t="shared" si="0"/>
        <v>On Track</v>
      </c>
    </row>
    <row r="44" spans="1:8" x14ac:dyDescent="0.35">
      <c r="A44" s="22" t="s">
        <v>291</v>
      </c>
      <c r="B44" s="4">
        <f>SUM(D2:D41)</f>
        <v>13074447.339999998</v>
      </c>
    </row>
    <row r="45" spans="1:8" x14ac:dyDescent="0.35">
      <c r="A45" s="22" t="s">
        <v>296</v>
      </c>
      <c r="B45" s="4">
        <f>SUM(E2:E41)</f>
        <v>13025726.580000002</v>
      </c>
    </row>
    <row r="46" spans="1:8" x14ac:dyDescent="0.35">
      <c r="A46" s="22" t="s">
        <v>297</v>
      </c>
      <c r="B46" s="4">
        <f>SUM(F2:F41)</f>
        <v>-48720.75999999998</v>
      </c>
    </row>
    <row r="47" spans="1:8" x14ac:dyDescent="0.35">
      <c r="A47" s="22" t="s">
        <v>298</v>
      </c>
      <c r="B47" s="26">
        <f>AVERAGE(G2:G41)</f>
        <v>-7.6203212059725373E-5</v>
      </c>
    </row>
    <row r="48" spans="1:8" x14ac:dyDescent="0.35">
      <c r="A48" s="22" t="s">
        <v>299</v>
      </c>
      <c r="B48" s="4">
        <f>COUNTIF(H2:H41,"Over Budget")</f>
        <v>9</v>
      </c>
    </row>
    <row r="49" spans="1:2" x14ac:dyDescent="0.35">
      <c r="A49" s="22" t="s">
        <v>300</v>
      </c>
      <c r="B49" s="4">
        <f>COUNTIF(H2:H41,"On Track")</f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4A08-9D64-4206-804E-D1A75302DD69}">
  <sheetPr>
    <tabColor rgb="FF002060"/>
  </sheetPr>
  <dimension ref="A1:N32"/>
  <sheetViews>
    <sheetView tabSelected="1" topLeftCell="A7" zoomScale="142" zoomScaleNormal="142" workbookViewId="0">
      <selection activeCell="A30" sqref="A30:C32"/>
    </sheetView>
  </sheetViews>
  <sheetFormatPr defaultRowHeight="14.5" x14ac:dyDescent="0.35"/>
  <cols>
    <col min="1" max="1" width="21.81640625" customWidth="1"/>
    <col min="2" max="3" width="12.54296875" customWidth="1"/>
    <col min="4" max="4" width="12.1796875" customWidth="1"/>
    <col min="5" max="5" width="10.26953125" bestFit="1" customWidth="1"/>
    <col min="6" max="6" width="12.90625" customWidth="1"/>
  </cols>
  <sheetData>
    <row r="1" spans="1:14" ht="50" customHeight="1" x14ac:dyDescent="0.35">
      <c r="A1" s="27" t="s">
        <v>301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22" customHeight="1" x14ac:dyDescent="0.35">
      <c r="A2" s="28" t="s">
        <v>302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4" spans="1:14" x14ac:dyDescent="0.35">
      <c r="A4" s="29" t="s">
        <v>303</v>
      </c>
      <c r="B4" s="29"/>
      <c r="C4" s="31" t="s">
        <v>304</v>
      </c>
      <c r="D4" s="31"/>
      <c r="E4" s="33" t="s">
        <v>305</v>
      </c>
      <c r="F4" s="33"/>
      <c r="G4" s="35" t="s">
        <v>306</v>
      </c>
      <c r="H4" s="35"/>
      <c r="I4" s="37" t="s">
        <v>307</v>
      </c>
      <c r="J4" s="37"/>
      <c r="K4" s="39" t="s">
        <v>308</v>
      </c>
      <c r="L4" s="39"/>
    </row>
    <row r="5" spans="1:14" x14ac:dyDescent="0.35">
      <c r="A5" s="30">
        <f>'5_Budget_vs_Actual'!B44</f>
        <v>13074447.339999998</v>
      </c>
      <c r="B5" s="30"/>
      <c r="C5" s="32">
        <f>'5_Budget_vs_Actual'!B45</f>
        <v>13025726.580000002</v>
      </c>
      <c r="D5" s="32"/>
      <c r="E5" s="34">
        <f>'5_Budget_vs_Actual'!B46</f>
        <v>-48720.75999999998</v>
      </c>
      <c r="F5" s="34"/>
      <c r="G5" s="36">
        <f>'5_Budget_vs_Actual'!B47</f>
        <v>-7.6203212059725373E-5</v>
      </c>
      <c r="H5" s="36"/>
      <c r="I5" s="38">
        <f>'5_Budget_vs_Actual'!B48</f>
        <v>9</v>
      </c>
      <c r="J5" s="38"/>
      <c r="K5" s="40">
        <f>'5_Budget_vs_Actual'!B49</f>
        <v>24</v>
      </c>
      <c r="L5" s="40"/>
    </row>
    <row r="6" spans="1:14" x14ac:dyDescent="0.35">
      <c r="A6" s="30"/>
      <c r="B6" s="30"/>
      <c r="C6" s="32"/>
      <c r="D6" s="32"/>
      <c r="E6" s="34"/>
      <c r="F6" s="34"/>
      <c r="G6" s="36"/>
      <c r="H6" s="36"/>
      <c r="I6" s="38"/>
      <c r="J6" s="38"/>
      <c r="K6" s="40"/>
      <c r="L6" s="40"/>
    </row>
    <row r="7" spans="1:14" x14ac:dyDescent="0.35">
      <c r="A7" s="30"/>
      <c r="B7" s="30"/>
      <c r="C7" s="32"/>
      <c r="D7" s="32"/>
      <c r="E7" s="34"/>
      <c r="F7" s="34"/>
      <c r="G7" s="36"/>
      <c r="H7" s="36"/>
      <c r="I7" s="38"/>
      <c r="J7" s="38"/>
      <c r="K7" s="40"/>
      <c r="L7" s="40"/>
    </row>
    <row r="9" spans="1:14" ht="16" x14ac:dyDescent="0.35">
      <c r="A9" s="41" t="s">
        <v>312</v>
      </c>
      <c r="B9" s="41"/>
      <c r="C9" s="41"/>
      <c r="D9" s="41"/>
      <c r="E9" s="41"/>
      <c r="F9" s="41"/>
    </row>
    <row r="10" spans="1:14" x14ac:dyDescent="0.35">
      <c r="A10" s="42" t="s">
        <v>286</v>
      </c>
      <c r="B10" s="42" t="s">
        <v>281</v>
      </c>
      <c r="C10" s="42" t="s">
        <v>309</v>
      </c>
      <c r="D10" s="42" t="s">
        <v>283</v>
      </c>
      <c r="E10" s="42" t="s">
        <v>310</v>
      </c>
      <c r="F10" s="42" t="s">
        <v>311</v>
      </c>
    </row>
    <row r="11" spans="1:14" x14ac:dyDescent="0.35">
      <c r="A11" t="s">
        <v>219</v>
      </c>
      <c r="B11" s="21">
        <f>'4_Pivot_Analysis'!B2</f>
        <v>3321244.31</v>
      </c>
      <c r="C11" s="21">
        <f>'4_Pivot_Analysis'!C2</f>
        <v>3480508.4699999997</v>
      </c>
      <c r="D11" s="21">
        <f>'4_Pivot_Analysis'!D2</f>
        <v>159264.15999999968</v>
      </c>
      <c r="E11" s="20">
        <f>'4_Pivot_Analysis'!E2</f>
        <v>4.7953160061266216E-2</v>
      </c>
      <c r="F11" t="str">
        <f>'4_Pivot_Analysis'!F2</f>
        <v>Watch</v>
      </c>
    </row>
    <row r="12" spans="1:14" x14ac:dyDescent="0.35">
      <c r="A12" t="s">
        <v>24</v>
      </c>
      <c r="B12" s="21">
        <f>'4_Pivot_Analysis'!B3</f>
        <v>3043895.21</v>
      </c>
      <c r="C12" s="21">
        <f>'4_Pivot_Analysis'!C3</f>
        <v>3077031.87</v>
      </c>
      <c r="D12" s="21">
        <f>'4_Pivot_Analysis'!D3</f>
        <v>33136.660000000149</v>
      </c>
      <c r="E12" s="20">
        <f>'4_Pivot_Analysis'!E3</f>
        <v>1.0886268321963734E-2</v>
      </c>
      <c r="F12" t="str">
        <f>'4_Pivot_Analysis'!F3</f>
        <v>Watch</v>
      </c>
    </row>
    <row r="13" spans="1:14" x14ac:dyDescent="0.35">
      <c r="A13" t="s">
        <v>33</v>
      </c>
      <c r="B13" s="21">
        <f>'4_Pivot_Analysis'!B4</f>
        <v>3158723.0100000002</v>
      </c>
      <c r="C13" s="21">
        <f>'4_Pivot_Analysis'!C4</f>
        <v>3060874.87</v>
      </c>
      <c r="D13" s="21">
        <f>'4_Pivot_Analysis'!D4</f>
        <v>-97848.14000000013</v>
      </c>
      <c r="E13" s="20">
        <f>'4_Pivot_Analysis'!E4</f>
        <v>-3.097711945309194E-2</v>
      </c>
      <c r="F13" t="str">
        <f>'4_Pivot_Analysis'!F4</f>
        <v>On Track</v>
      </c>
    </row>
    <row r="14" spans="1:14" x14ac:dyDescent="0.35">
      <c r="A14" t="s">
        <v>65</v>
      </c>
      <c r="B14" s="21">
        <f>'4_Pivot_Analysis'!B5</f>
        <v>3550584.81</v>
      </c>
      <c r="C14" s="21">
        <f>'4_Pivot_Analysis'!C5</f>
        <v>3407311.3699999996</v>
      </c>
      <c r="D14" s="21">
        <f>'4_Pivot_Analysis'!D5</f>
        <v>-143273.44000000041</v>
      </c>
      <c r="E14" s="20">
        <f>'4_Pivot_Analysis'!E5</f>
        <v>-4.0352068086496551E-2</v>
      </c>
      <c r="F14" t="str">
        <f>'4_Pivot_Analysis'!F5</f>
        <v>On Track</v>
      </c>
    </row>
    <row r="15" spans="1:14" x14ac:dyDescent="0.35">
      <c r="A15" t="s">
        <v>293</v>
      </c>
      <c r="B15" s="21">
        <f>SUM(B11:B14)</f>
        <v>13074447.34</v>
      </c>
      <c r="C15" s="21">
        <f>SUM(C11:C14)</f>
        <v>13025726.58</v>
      </c>
      <c r="D15" s="21">
        <f>SUM(D11:D14)</f>
        <v>-48720.760000000708</v>
      </c>
      <c r="E15" s="20">
        <f>D15/B15</f>
        <v>-3.7264106644832535E-3</v>
      </c>
    </row>
    <row r="17" spans="1:6" x14ac:dyDescent="0.35">
      <c r="A17" s="30" t="s">
        <v>313</v>
      </c>
      <c r="B17" s="30"/>
      <c r="C17" s="30"/>
      <c r="D17" s="30"/>
      <c r="E17" s="30"/>
      <c r="F17" s="30"/>
    </row>
    <row r="18" spans="1:6" x14ac:dyDescent="0.35">
      <c r="A18" s="43" t="s">
        <v>294</v>
      </c>
      <c r="B18" s="43" t="s">
        <v>291</v>
      </c>
      <c r="C18" s="43" t="s">
        <v>296</v>
      </c>
      <c r="D18" s="43" t="s">
        <v>283</v>
      </c>
      <c r="E18" s="43" t="s">
        <v>284</v>
      </c>
      <c r="F18" s="43" t="s">
        <v>314</v>
      </c>
    </row>
    <row r="19" spans="1:6" x14ac:dyDescent="0.35">
      <c r="A19" t="s">
        <v>14</v>
      </c>
      <c r="B19">
        <f>SUMIF('3_Cleaned_Data'!$B:$B,A19,'3_Cleaned_Data'!$K:$K)</f>
        <v>1280363.51</v>
      </c>
      <c r="C19">
        <f>SUMIF('3_Cleaned_Data'!$B:$B,A19,'3_Cleaned_Data'!$L:$L)</f>
        <v>1251264.3500000001</v>
      </c>
      <c r="D19">
        <f>C19-B19</f>
        <v>-29099.159999999916</v>
      </c>
      <c r="E19" s="20">
        <f>D19/B19</f>
        <v>-2.2727264384471497E-2</v>
      </c>
      <c r="F19" t="str">
        <f>IF(E19&gt;0.1,"Over Budget",IF(E19&gt;0,"Watch","On Track"))</f>
        <v>On Track</v>
      </c>
    </row>
    <row r="20" spans="1:6" x14ac:dyDescent="0.35">
      <c r="A20" t="s">
        <v>41</v>
      </c>
      <c r="B20">
        <f>SUMIF('3_Cleaned_Data'!$B:$B,A20,'3_Cleaned_Data'!$K:$K)</f>
        <v>982865.95</v>
      </c>
      <c r="C20">
        <f>SUMIF('3_Cleaned_Data'!$B:$B,A20,'3_Cleaned_Data'!$L:$L)</f>
        <v>950386.28</v>
      </c>
      <c r="D20">
        <f t="shared" ref="D20:D28" si="0">C20-B20</f>
        <v>-32479.669999999925</v>
      </c>
      <c r="E20" s="20">
        <f t="shared" ref="E20:E28" si="1">D20/B20</f>
        <v>-3.3045879756033798E-2</v>
      </c>
      <c r="F20" t="str">
        <f t="shared" ref="F20:F28" si="2">IF(E20&gt;0.1,"Over Budget",IF(E20&gt;0,"Watch","On Track"))</f>
        <v>On Track</v>
      </c>
    </row>
    <row r="21" spans="1:6" x14ac:dyDescent="0.35">
      <c r="A21" t="s">
        <v>32</v>
      </c>
      <c r="B21">
        <f>SUMIF('3_Cleaned_Data'!$B:$B,A21,'3_Cleaned_Data'!$K:$K)</f>
        <v>1552431.6099999999</v>
      </c>
      <c r="C21">
        <f>SUMIF('3_Cleaned_Data'!$B:$B,A21,'3_Cleaned_Data'!$L:$L)</f>
        <v>1494627.74</v>
      </c>
      <c r="D21">
        <f t="shared" si="0"/>
        <v>-57803.869999999879</v>
      </c>
      <c r="E21" s="20">
        <f t="shared" si="1"/>
        <v>-3.7234406738213661E-2</v>
      </c>
      <c r="F21" t="str">
        <f t="shared" si="2"/>
        <v>On Track</v>
      </c>
    </row>
    <row r="22" spans="1:6" x14ac:dyDescent="0.35">
      <c r="A22" t="s">
        <v>58</v>
      </c>
      <c r="B22">
        <f>SUMIF('3_Cleaned_Data'!$B:$B,A22,'3_Cleaned_Data'!$K:$K)</f>
        <v>1071156.44</v>
      </c>
      <c r="C22">
        <f>SUMIF('3_Cleaned_Data'!$B:$B,A22,'3_Cleaned_Data'!$L:$L)</f>
        <v>1117057.27</v>
      </c>
      <c r="D22">
        <f t="shared" si="0"/>
        <v>45900.830000000075</v>
      </c>
      <c r="E22" s="20">
        <f t="shared" si="1"/>
        <v>4.285165853084922E-2</v>
      </c>
      <c r="F22" t="str">
        <f t="shared" si="2"/>
        <v>Watch</v>
      </c>
    </row>
    <row r="23" spans="1:6" x14ac:dyDescent="0.35">
      <c r="A23" t="s">
        <v>98</v>
      </c>
      <c r="B23">
        <f>SUMIF('3_Cleaned_Data'!$B:$B,A23,'3_Cleaned_Data'!$K:$K)</f>
        <v>1246852.1100000001</v>
      </c>
      <c r="C23">
        <f>SUMIF('3_Cleaned_Data'!$B:$B,A23,'3_Cleaned_Data'!$L:$L)</f>
        <v>1241571.3400000001</v>
      </c>
      <c r="D23">
        <f t="shared" si="0"/>
        <v>-5280.7700000000186</v>
      </c>
      <c r="E23" s="20">
        <f t="shared" si="1"/>
        <v>-4.2352817608818242E-3</v>
      </c>
      <c r="F23" t="str">
        <f t="shared" si="2"/>
        <v>On Track</v>
      </c>
    </row>
    <row r="24" spans="1:6" x14ac:dyDescent="0.35">
      <c r="A24" t="s">
        <v>73</v>
      </c>
      <c r="B24">
        <f>SUMIF('3_Cleaned_Data'!$B:$B,A24,'3_Cleaned_Data'!$K:$K)</f>
        <v>1339681.74</v>
      </c>
      <c r="C24">
        <f>SUMIF('3_Cleaned_Data'!$B:$B,A24,'3_Cleaned_Data'!$L:$L)</f>
        <v>1500690.1300000001</v>
      </c>
      <c r="D24">
        <f t="shared" si="0"/>
        <v>161008.39000000013</v>
      </c>
      <c r="E24" s="20">
        <f t="shared" si="1"/>
        <v>0.12018405953640909</v>
      </c>
      <c r="F24" t="str">
        <f t="shared" si="2"/>
        <v>Over Budget</v>
      </c>
    </row>
    <row r="25" spans="1:6" x14ac:dyDescent="0.35">
      <c r="A25" t="s">
        <v>23</v>
      </c>
      <c r="B25">
        <f>SUMIF('3_Cleaned_Data'!$B:$B,A25,'3_Cleaned_Data'!$K:$K)</f>
        <v>1520502.9</v>
      </c>
      <c r="C25">
        <f>SUMIF('3_Cleaned_Data'!$B:$B,A25,'3_Cleaned_Data'!$L:$L)</f>
        <v>1517707.13</v>
      </c>
      <c r="D25">
        <f t="shared" si="0"/>
        <v>-2795.7700000000186</v>
      </c>
      <c r="E25" s="20">
        <f t="shared" si="1"/>
        <v>-1.8387140202100363E-3</v>
      </c>
      <c r="F25" t="str">
        <f t="shared" si="2"/>
        <v>On Track</v>
      </c>
    </row>
    <row r="26" spans="1:6" x14ac:dyDescent="0.35">
      <c r="A26" t="s">
        <v>81</v>
      </c>
      <c r="B26">
        <f>SUMIF('3_Cleaned_Data'!$B:$B,A26,'3_Cleaned_Data'!$K:$K)</f>
        <v>1305552.83</v>
      </c>
      <c r="C26">
        <f>SUMIF('3_Cleaned_Data'!$B:$B,A26,'3_Cleaned_Data'!$L:$L)</f>
        <v>1339175.0900000001</v>
      </c>
      <c r="D26">
        <f t="shared" si="0"/>
        <v>33622.260000000009</v>
      </c>
      <c r="E26" s="20">
        <f t="shared" si="1"/>
        <v>2.5753274189601355E-2</v>
      </c>
      <c r="F26" t="str">
        <f t="shared" si="2"/>
        <v>Watch</v>
      </c>
    </row>
    <row r="27" spans="1:6" x14ac:dyDescent="0.35">
      <c r="A27" t="s">
        <v>148</v>
      </c>
      <c r="B27">
        <f>SUMIF('3_Cleaned_Data'!$B:$B,A27,'3_Cleaned_Data'!$K:$K)</f>
        <v>1821414.73</v>
      </c>
      <c r="C27">
        <f>SUMIF('3_Cleaned_Data'!$B:$B,A27,'3_Cleaned_Data'!$L:$L)</f>
        <v>1721705.76</v>
      </c>
      <c r="D27">
        <f t="shared" si="0"/>
        <v>-99708.969999999972</v>
      </c>
      <c r="E27" s="20">
        <f t="shared" si="1"/>
        <v>-5.4742595608634377E-2</v>
      </c>
      <c r="F27" t="str">
        <f t="shared" si="2"/>
        <v>On Track</v>
      </c>
    </row>
    <row r="28" spans="1:6" x14ac:dyDescent="0.35">
      <c r="A28" t="s">
        <v>89</v>
      </c>
      <c r="B28">
        <f>SUMIF('3_Cleaned_Data'!$B:$B,A28,'3_Cleaned_Data'!$K:$K)</f>
        <v>953625.52</v>
      </c>
      <c r="C28">
        <f>SUMIF('3_Cleaned_Data'!$B:$B,A28,'3_Cleaned_Data'!$L:$L)</f>
        <v>891541.49</v>
      </c>
      <c r="D28">
        <f t="shared" si="0"/>
        <v>-62084.030000000028</v>
      </c>
      <c r="E28" s="20">
        <f t="shared" si="1"/>
        <v>-6.5103154957514162E-2</v>
      </c>
      <c r="F28" t="str">
        <f t="shared" si="2"/>
        <v>On Track</v>
      </c>
    </row>
    <row r="30" spans="1:6" x14ac:dyDescent="0.35">
      <c r="A30" s="44" t="s">
        <v>315</v>
      </c>
      <c r="B30" s="44" t="s">
        <v>316</v>
      </c>
      <c r="C30" s="44"/>
    </row>
    <row r="31" spans="1:6" x14ac:dyDescent="0.35">
      <c r="A31" s="44"/>
      <c r="B31" s="44" t="s">
        <v>317</v>
      </c>
      <c r="C31" s="44"/>
    </row>
    <row r="32" spans="1:6" x14ac:dyDescent="0.35">
      <c r="A32" s="44"/>
      <c r="B32" s="44" t="s">
        <v>318</v>
      </c>
      <c r="C32" s="44"/>
    </row>
  </sheetData>
  <mergeCells count="16">
    <mergeCell ref="K4:L4"/>
    <mergeCell ref="K5:L7"/>
    <mergeCell ref="A9:F9"/>
    <mergeCell ref="A17:F17"/>
    <mergeCell ref="E4:F4"/>
    <mergeCell ref="E5:F7"/>
    <mergeCell ref="G4:H4"/>
    <mergeCell ref="G5:H7"/>
    <mergeCell ref="I4:J4"/>
    <mergeCell ref="I5:J7"/>
    <mergeCell ref="A1:N1"/>
    <mergeCell ref="A2:N2"/>
    <mergeCell ref="A4:B4"/>
    <mergeCell ref="A5:B7"/>
    <mergeCell ref="C4:D4"/>
    <mergeCell ref="C5:D7"/>
  </mergeCells>
  <conditionalFormatting sqref="D19:D28">
    <cfRule type="cellIs" dxfId="3" priority="2" operator="greaterThan">
      <formula>0</formula>
    </cfRule>
    <cfRule type="cellIs" dxfId="2" priority="1" stopIfTrue="1" operator="lessThanOrEqual">
      <formula>0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5c9361e-11db-4cdb-bb28-a56c50666d3c}" enabled="1" method="Privileged" siteId="{2c518df7-6644-41f8-8350-3f75e61362a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2_Contractor_Rates</vt:lpstr>
      <vt:lpstr>3_Cleaned_Data</vt:lpstr>
      <vt:lpstr>4_Pivot_Analysis</vt:lpstr>
      <vt:lpstr>5_Budget_vs_Actual</vt:lpstr>
      <vt:lpstr>6_Dashboard</vt:lpstr>
    </vt:vector>
  </TitlesOfParts>
  <Company>Water Quality Environment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Vijayan, Rajkumar</dc:creator>
  <cp:lastModifiedBy>Vijayan, Rajkumar</cp:lastModifiedBy>
  <dcterms:created xsi:type="dcterms:W3CDTF">2026-04-21T09:40:40Z</dcterms:created>
  <dcterms:modified xsi:type="dcterms:W3CDTF">2026-04-23T12:11:02Z</dcterms:modified>
</cp:coreProperties>
</file>